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 điểm" sheetId="1" r:id="rId4"/>
    <sheet state="visible" name="SINH VIEN DIEM&lt;7" sheetId="2" r:id="rId5"/>
    <sheet state="visible" name="SINH VIEN DIEM &gt;=7" sheetId="3" r:id="rId6"/>
    <sheet state="visible" name="Điểm thực hành các buổi" sheetId="4" r:id="rId7"/>
    <sheet state="visible" name="Điểm bài tập lớn" sheetId="5" r:id="rId8"/>
    <sheet state="visible" name="Điểm lý thuyết" sheetId="6" r:id="rId9"/>
    <sheet state="visible" name="Các bảng tham chiếu &amp; Thống kê" sheetId="7" r:id="rId10"/>
    <sheet state="visible" name="Sheet1" sheetId="8" r:id="rId11"/>
  </sheets>
  <definedNames>
    <definedName hidden="1" localSheetId="0" name="_xlnm._FilterDatabase">'Tổng hợp điểm'!$A$6:$K$45</definedName>
  </definedNames>
  <calcPr/>
  <extLst>
    <ext uri="GoogleSheetsCustomDataVersion2">
      <go:sheetsCustomData xmlns:go="http://customooxmlschemas.google.com/" r:id="rId12" roundtripDataChecksum="62crdh4jXGEpPVeIVgubVmojBAtmeAHPhoR22iyyWjA="/>
    </ext>
  </extLst>
</workbook>
</file>

<file path=xl/sharedStrings.xml><?xml version="1.0" encoding="utf-8"?>
<sst xmlns="http://schemas.openxmlformats.org/spreadsheetml/2006/main" count="482" uniqueCount="162">
  <si>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</si>
  <si>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</si>
  <si>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</si>
  <si>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</si>
  <si>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</si>
  <si>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</si>
  <si>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</si>
  <si>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</si>
  <si>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</si>
  <si>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</si>
  <si>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</si>
  <si>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</si>
  <si>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</si>
  <si>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</si>
  <si>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</si>
  <si>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</si>
  <si>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</si>
  <si>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</si>
  <si>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</si>
  <si>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</si>
  <si>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</si>
  <si>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</si>
  <si>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</si>
  <si>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</si>
  <si>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</si>
  <si>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</si>
  <si>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</si>
  <si>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</si>
  <si>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0B1605257</t>
  </si>
  <si>
    <t>3B1605281</t>
  </si>
  <si>
    <t>0B1605285</t>
  </si>
  <si>
    <t>0B1605291</t>
  </si>
  <si>
    <t>1B1605344</t>
  </si>
  <si>
    <t>0B1606845</t>
  </si>
  <si>
    <t>0B1607017</t>
  </si>
  <si>
    <t>4B1607025</t>
  </si>
  <si>
    <t>0B1609533</t>
  </si>
  <si>
    <t>2B1609759</t>
  </si>
  <si>
    <t>0B1609762</t>
  </si>
  <si>
    <t>5B1609765</t>
  </si>
  <si>
    <t>0B1609773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</si>
  <si>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</si>
  <si>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</si>
  <si>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</si>
  <si>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</si>
  <si>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</si>
  <si>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</si>
  <si>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</si>
  <si>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</si>
  <si>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0B1706626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</si>
  <si>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</si>
  <si>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</si>
  <si>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</si>
  <si>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</si>
  <si>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</si>
  <si>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</si>
  <si>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</si>
  <si>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</si>
  <si>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</si>
  <si>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</si>
  <si>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Bảng Điểm thực hành các buổi</t>
  </si>
  <si>
    <t>B1505719</t>
  </si>
  <si>
    <t>Nguyễn Phước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</si>
  <si>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</si>
  <si>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</si>
  <si>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</si>
  <si>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</si>
  <si>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</si>
  <si>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</si>
  <si>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</si>
  <si>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</si>
  <si>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</si>
  <si>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 Như</t>
  </si>
  <si>
    <t>B1605249</t>
  </si>
  <si>
    <t>Lê Minh Thông</t>
  </si>
  <si>
    <t>B1605257</t>
  </si>
  <si>
    <t>Quách Thu Vân</t>
  </si>
  <si>
    <t>B1605281</t>
  </si>
  <si>
    <t>Trần Thị Kim Khoa</t>
  </si>
  <si>
    <t>B1605285</t>
  </si>
  <si>
    <t>Huỳnh Thị Hồng Loan</t>
  </si>
  <si>
    <t>B1605291</t>
  </si>
  <si>
    <t>Trần Thị Thanh Nguyên</t>
  </si>
  <si>
    <t>B1605344</t>
  </si>
  <si>
    <t>Nguyễn Thị Thúy Nga</t>
  </si>
  <si>
    <t>B1606845</t>
  </si>
  <si>
    <t>Vũ Mạnh Thắng</t>
  </si>
  <si>
    <t>B1607017</t>
  </si>
  <si>
    <t>Cao Ngọc Quyên</t>
  </si>
  <si>
    <t>B1607025</t>
  </si>
  <si>
    <t>Nguyễn Chí Thanh</t>
  </si>
  <si>
    <t>B1609533</t>
  </si>
  <si>
    <t>Nguyễn Bích Ngân</t>
  </si>
  <si>
    <t>B1609759</t>
  </si>
  <si>
    <t>Nguyễn Hải Anh</t>
  </si>
  <si>
    <t>B1609762</t>
  </si>
  <si>
    <t>Nguyễn Hoàng Châu</t>
  </si>
  <si>
    <t>B1609765</t>
  </si>
  <si>
    <t>Trần Nam Dương</t>
  </si>
  <si>
    <t>B1609773</t>
  </si>
  <si>
    <t>Đào Nguyễn Duy Khanh</t>
  </si>
  <si>
    <t>B1704708</t>
  </si>
  <si>
    <t>Ngô Hùng Vĩ</t>
  </si>
  <si>
    <t>B1706550</t>
  </si>
  <si>
    <t>Lê Thanh Tùng</t>
  </si>
  <si>
    <t>B1706555</t>
  </si>
  <si>
    <t>Lê Hồng Quốc Vương</t>
  </si>
  <si>
    <t>B1706560</t>
  </si>
  <si>
    <t>Huỳnh Hoàng Ẩn</t>
  </si>
  <si>
    <t>B1706589</t>
  </si>
  <si>
    <t>Hồ Thị Mỷ Huyền</t>
  </si>
  <si>
    <t>B1706597</t>
  </si>
  <si>
    <t>Đặng Trung Kiên</t>
  </si>
  <si>
    <t>B1706606</t>
  </si>
  <si>
    <t>Ngụy Hữu Lộc</t>
  </si>
  <si>
    <t>B1706610</t>
  </si>
  <si>
    <t>Nguyễn Trà Mi</t>
  </si>
  <si>
    <t>B1706626</t>
  </si>
  <si>
    <t>Lại Ngọc Hoàng Phi</t>
  </si>
  <si>
    <t>B1706630</t>
  </si>
  <si>
    <t>Nguyễn Khắc Minh Phúc</t>
  </si>
  <si>
    <t>B1706633</t>
  </si>
  <si>
    <t>Trần Thị Hoàng Quyên</t>
  </si>
  <si>
    <t>B1706641</t>
  </si>
  <si>
    <t>Trương Quốc Thái</t>
  </si>
  <si>
    <t>B1706643</t>
  </si>
  <si>
    <t>Nguyễn Thị Phương Thảo</t>
  </si>
  <si>
    <t>B1706655</t>
  </si>
  <si>
    <t>Nguyễn Chí Tôn</t>
  </si>
  <si>
    <t>B1706666</t>
  </si>
  <si>
    <t>Trịnh Uyên</t>
  </si>
  <si>
    <t>B1706877</t>
  </si>
  <si>
    <t>Nguyễn Anh Thư</t>
  </si>
  <si>
    <t>B1706892</t>
  </si>
  <si>
    <t>Huỳnh Lê Tỷ</t>
  </si>
  <si>
    <t>B1709289</t>
  </si>
  <si>
    <t>Nguyễn Ngọc Luyến</t>
  </si>
  <si>
    <t>B1709313</t>
  </si>
  <si>
    <t>Võ Thị Thùy Trang</t>
  </si>
  <si>
    <t>Bảng Điểm bài tập lớn</t>
  </si>
  <si>
    <t>Điểm BL lớn</t>
  </si>
  <si>
    <t>Bảng Điểm lý thuyết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</si>
  <si>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</si>
  <si>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</si>
  <si>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</si>
  <si>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</si>
  <si>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</si>
  <si>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</si>
  <si>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</si>
  <si>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</si>
  <si>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</si>
  <si>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</si>
  <si>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</si>
  <si>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</si>
  <si>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</si>
  <si>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</si>
  <si>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Bảng Danh sách Sinh viên</t>
  </si>
  <si>
    <t>Bảng thống kê theo điểm chữ</t>
  </si>
  <si>
    <t>Số lượng sinh viên</t>
  </si>
  <si>
    <t>Bảng thống kê SV</t>
  </si>
  <si>
    <t>Số sinh viên điểm BT lớn =0 hoặc điểm LT =-3</t>
  </si>
  <si>
    <t>Số SV có Điểm theo thang điểm 10 &gt;= 7 và có Điểm chữ là B+ hoặc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</si>
</sst>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Times New Roman"/>
      <scheme val="minor"/>
    </font>
    <font>
      <sz val="12.0"/>
      <color rgb="FF000000"/>
      <name val="Times New Roman"/>
    </font>
    <font>
      <b/>
      <sz val="16.0"/>
      <color rgb="FF000000"/>
      <name val="Times New Roman"/>
    </font>
    <font/>
    <font>
      <b/>
      <sz val="12.0"/>
      <color theme="1"/>
      <name val="Times New Roman"/>
    </font>
    <font>
      <sz val="12.0"/>
      <color theme="1"/>
      <name val="Times New Roman"/>
    </font>
    <font>
      <sz val="10.0"/>
      <color rgb="FF000000"/>
      <name val="Times New Roman"/>
    </font>
    <font>
      <sz val="12.0"/>
      <color theme="1"/>
      <name val="Arial"/>
    </font>
    <font>
      <b/>
      <sz val="16.0"/>
      <color rgb="FF002060"/>
      <name val="Times New Roman"/>
    </font>
    <font>
      <b/>
      <sz val="12.0"/>
      <color rgb="FF002060"/>
      <name val="Times New Roman"/>
    </font>
    <font>
      <b/>
      <sz val="14.0"/>
      <color rgb="FF000000"/>
      <name val="Times New Roman"/>
    </font>
    <font>
      <b/>
      <sz val="12.0"/>
      <color rgb="FF000000"/>
      <name val="Times New Roman"/>
    </font>
    <font>
      <b/>
      <sz val="10.0"/>
      <color rgb="FF000000"/>
      <name val="Times New Roman"/>
    </font>
    <font>
      <b/>
      <sz val="11.0"/>
      <color rgb="FF000000"/>
      <name val="Times New Roman"/>
    </font>
    <font>
      <color theme="1"/>
      <name val="Times New Roman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DAEEF3"/>
        <bgColor rgb="FFDAEEF3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right" shrinkToFit="0" vertical="center" wrapText="0"/>
    </xf>
    <xf borderId="5" fillId="3" fontId="2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0"/>
    </xf>
    <xf borderId="2" fillId="5" fontId="2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2" fillId="6" fontId="8" numFmtId="0" xfId="0" applyAlignment="1" applyBorder="1" applyFill="1" applyFont="1">
      <alignment horizontal="center" shrinkToFit="0" vertical="center" wrapText="0"/>
    </xf>
    <xf borderId="2" fillId="6" fontId="8" numFmtId="0" xfId="0" applyAlignment="1" applyBorder="1" applyFont="1">
      <alignment horizontal="center" shrinkToFit="0" vertical="bottom" wrapText="0"/>
    </xf>
    <xf borderId="1" fillId="6" fontId="9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" fillId="6" fontId="9" numFmtId="0" xfId="0" applyAlignment="1" applyBorder="1" applyFont="1">
      <alignment horizontal="center" shrinkToFit="0" vertical="center" wrapText="1"/>
    </xf>
    <xf borderId="2" fillId="6" fontId="8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bottom" wrapText="0"/>
    </xf>
    <xf borderId="2" fillId="0" fontId="10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left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7" fillId="0" fontId="13" numFmtId="0" xfId="0" applyAlignment="1" applyBorder="1" applyFont="1">
      <alignment horizontal="left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10" fillId="0" fontId="14" numFmtId="0" xfId="0" applyAlignment="1" applyBorder="1" applyFont="1">
      <alignment shrinkToFit="0" vertical="center" wrapText="1"/>
    </xf>
    <xf borderId="9" fillId="0" fontId="1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Thống kê tổng số lượng 
sinh viên theo điểm chữ</a:t>
            </a:r>
          </a:p>
        </c:rich>
      </c:tx>
      <c:layout>
        <c:manualLayout>
          <c:xMode val="edge"/>
          <c:yMode val="edge"/>
          <c:x val="0.552039473684211"/>
          <c:y val="0.00694444444444444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'Các bảng tham chiếu &amp; Thống kê'!$E$14:$E$21</c:f>
            </c:strRef>
          </c:cat>
          <c:val>
            <c:numRef>
              <c:f>'Các bảng tham chiếu &amp; Thống kê'!$F$14:$F$21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798551678736011"/>
          <c:y val="0.259027777777778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35</xdr:row>
      <xdr:rowOff>142875</xdr:rowOff>
    </xdr:from>
    <xdr:ext cx="4695825" cy="2781300"/>
    <xdr:graphicFrame>
      <xdr:nvGraphicFramePr>
        <xdr:cNvPr id="210240604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71"/>
    <col customWidth="1" min="2" max="2" width="15.71"/>
    <col customWidth="1" min="3" max="3" width="31.71"/>
    <col customWidth="1" min="4" max="9" width="15.71"/>
    <col customWidth="1" min="10" max="10" width="19.71"/>
    <col customWidth="1" min="11" max="26" width="15.71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/>
      <c r="B2" s="6" t="s">
        <v>1</v>
      </c>
      <c r="C2" s="6">
        <v>1043.0</v>
      </c>
      <c r="D2" s="7" t="s">
        <v>2</v>
      </c>
      <c r="E2" s="4"/>
      <c r="F2" s="7" t="s">
        <v>3</v>
      </c>
      <c r="G2" s="3"/>
      <c r="H2" s="4"/>
      <c r="I2" s="1"/>
      <c r="J2" s="1"/>
      <c r="K2" s="1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"/>
      <c r="B3" s="6" t="s">
        <v>4</v>
      </c>
      <c r="C3" s="6" t="s">
        <v>5</v>
      </c>
      <c r="D3" s="7" t="s">
        <v>6</v>
      </c>
      <c r="E3" s="4"/>
      <c r="F3" s="7">
        <v>8.0</v>
      </c>
      <c r="G3" s="3"/>
      <c r="H3" s="4"/>
      <c r="I3" s="1"/>
      <c r="J3" s="1"/>
      <c r="K3" s="1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/>
      <c r="B4" s="6" t="s">
        <v>7</v>
      </c>
      <c r="C4" s="6" t="s">
        <v>8</v>
      </c>
      <c r="D4" s="7" t="s">
        <v>9</v>
      </c>
      <c r="E4" s="4"/>
      <c r="F4" s="7">
        <v>1.0</v>
      </c>
      <c r="G4" s="3"/>
      <c r="H4" s="4"/>
      <c r="I4" s="1"/>
      <c r="J4" s="1"/>
      <c r="K4" s="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8" t="s">
        <v>20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9">
        <v>1.0</v>
      </c>
      <c r="B7" s="10" t="s">
        <v>21</v>
      </c>
      <c r="C7" s="10" t="str">
        <f>VLOOKUP(MID(B7,2,LEN(B7)),'Điểm thực hành các buổi'!$B$3:$C$41,2,0)</f>
        <v>Nguyễn Phước Hiếu</v>
      </c>
      <c r="D7" s="11">
        <f>VLOOKUP(MID(B7,2,LEN(B7)),'Điểm thực hành các buổi'!$B$3:$D$41,3,0)</f>
        <v>0.45</v>
      </c>
      <c r="E7" s="11">
        <f>VLOOKUP(MID(B7,2,LEN(B7)),'Điểm thực hành các buổi'!$B$3:$E$41,4,0)</f>
        <v>0.25</v>
      </c>
      <c r="F7" s="11">
        <f>VLOOKUP(MID(B7,2,LEN(B7)),'Điểm thực hành các buổi'!$B$3:$F$41,5,0)</f>
        <v>0.3</v>
      </c>
      <c r="G7" s="11">
        <f>VLOOKUP(MID(B7,2,LEN(B7)),'Điểm bài tập lớn'!$B$3:$D$41,3,0)</f>
        <v>0.5</v>
      </c>
      <c r="H7" s="11">
        <f>VLOOKUP(MID(B7,2,LEN(B7)),'Điểm lý thuyết'!$B$3:$D$41,3,0)</f>
        <v>4.2</v>
      </c>
      <c r="I7" s="11">
        <f t="shared" ref="I7:I45" si="1">ROUND(IF(H7=-3,0,D7+E7+F7+G7+0.6*H7),1)</f>
        <v>4</v>
      </c>
      <c r="J7" s="12">
        <f>IF(OR(G7=0,VALUE(LEFT(B7,1))&gt;2),0,ROUND(I7+VLOOKUP(VALUE(LEFT(B7,1)),'Các bảng tham chiếu &amp; Thống kê'!$E$3:$F$5,2,0),1))</f>
        <v>5</v>
      </c>
      <c r="K7" s="11" t="str">
        <f>LOOKUP(J7,'Các bảng tham chiếu &amp; Thống kê'!$A$3:$A$10,'Các bảng tham chiếu &amp; Thống kê'!$B$3:$B$10)</f>
        <v>D+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9">
        <v>2.0</v>
      </c>
      <c r="B8" s="10" t="s">
        <v>22</v>
      </c>
      <c r="C8" s="10" t="str">
        <f>VLOOKUP(MID(B8,2,LEN(B8)),'Điểm thực hành các buổi'!$B$3:$C$41,2,0)</f>
        <v>Lý Minh Trí</v>
      </c>
      <c r="D8" s="11">
        <f>VLOOKUP(MID(B8,2,LEN(B8)),'Điểm thực hành các buổi'!$B$3:$D$41,3,0)</f>
        <v>0.5</v>
      </c>
      <c r="E8" s="11">
        <f>VLOOKUP(MID(B8,2,LEN(B8)),'Điểm thực hành các buổi'!$B$3:$E$41,4,0)</f>
        <v>0.35</v>
      </c>
      <c r="F8" s="11">
        <f>VLOOKUP(MID(B8,2,LEN(B8)),'Điểm thực hành các buổi'!$B$3:$F$41,5,0)</f>
        <v>0.4</v>
      </c>
      <c r="G8" s="11">
        <f>VLOOKUP(MID(B8,2,LEN(B8)),'Điểm bài tập lớn'!$B$3:$D$41,3,0)</f>
        <v>1</v>
      </c>
      <c r="H8" s="11">
        <f>VLOOKUP(MID(B8,2,LEN(B8)),'Điểm lý thuyết'!$B$3:$D$41,3,0)</f>
        <v>5.8</v>
      </c>
      <c r="I8" s="11">
        <f t="shared" si="1"/>
        <v>5.7</v>
      </c>
      <c r="J8" s="12">
        <f>IF(OR(G8=0,VALUE(LEFT(B8,1))&gt;2),0,ROUND(I8+VLOOKUP(VALUE(LEFT(B8,1)),'Các bảng tham chiếu &amp; Thống kê'!$E$3:$F$5,2,0),1))</f>
        <v>6.2</v>
      </c>
      <c r="K8" s="11" t="str">
        <f>LOOKUP(J8,'Các bảng tham chiếu &amp; Thống kê'!$A$3:$A$10,'Các bảng tham chiếu &amp; Thống kê'!$B$3:$B$10)</f>
        <v>C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9">
        <v>3.0</v>
      </c>
      <c r="B9" s="10" t="s">
        <v>23</v>
      </c>
      <c r="C9" s="10" t="str">
        <f>VLOOKUP(MID(B9,2,LEN(B9)),'Điểm thực hành các buổi'!$B$3:$C$41,2,0)</f>
        <v>Nguyễn Kiều Mi</v>
      </c>
      <c r="D9" s="11">
        <f>VLOOKUP(MID(B9,2,LEN(B9)),'Điểm thực hành các buổi'!$B$3:$D$41,3,0)</f>
        <v>0.25</v>
      </c>
      <c r="E9" s="11">
        <f>VLOOKUP(MID(B9,2,LEN(B9)),'Điểm thực hành các buổi'!$B$3:$E$41,4,0)</f>
        <v>0.25</v>
      </c>
      <c r="F9" s="11">
        <f>VLOOKUP(MID(B9,2,LEN(B9)),'Điểm thực hành các buổi'!$B$3:$F$41,5,0)</f>
        <v>0.3</v>
      </c>
      <c r="G9" s="11">
        <f>VLOOKUP(MID(B9,2,LEN(B9)),'Điểm bài tập lớn'!$B$3:$D$41,3,0)</f>
        <v>0.5</v>
      </c>
      <c r="H9" s="11">
        <f>VLOOKUP(MID(B9,2,LEN(B9)),'Điểm lý thuyết'!$B$3:$D$41,3,0)</f>
        <v>5.8</v>
      </c>
      <c r="I9" s="11">
        <f t="shared" si="1"/>
        <v>4.8</v>
      </c>
      <c r="J9" s="12">
        <f>IF(OR(G9=0,VALUE(LEFT(B9,1))&gt;2),0,ROUND(I9+VLOOKUP(VALUE(LEFT(B9,1)),'Các bảng tham chiếu &amp; Thống kê'!$E$3:$F$5,2,0),1))</f>
        <v>5.8</v>
      </c>
      <c r="K9" s="11" t="str">
        <f>LOOKUP(J9,'Các bảng tham chiếu &amp; Thống kê'!$A$3:$A$10,'Các bảng tham chiếu &amp; Thống kê'!$B$3:$B$10)</f>
        <v>C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9">
        <v>4.0</v>
      </c>
      <c r="B10" s="10" t="s">
        <v>24</v>
      </c>
      <c r="C10" s="10" t="str">
        <f>VLOOKUP(MID(B10,2,LEN(B10)),'Điểm thực hành các buổi'!$B$3:$C$41,2,0)</f>
        <v>Đặng Duy Linh</v>
      </c>
      <c r="D10" s="11">
        <f>VLOOKUP(MID(B10,2,LEN(B10)),'Điểm thực hành các buổi'!$B$3:$D$41,3,0)</f>
        <v>0.4</v>
      </c>
      <c r="E10" s="11">
        <f>VLOOKUP(MID(B10,2,LEN(B10)),'Điểm thực hành các buổi'!$B$3:$E$41,4,0)</f>
        <v>0.25</v>
      </c>
      <c r="F10" s="11">
        <f>VLOOKUP(MID(B10,2,LEN(B10)),'Điểm thực hành các buổi'!$B$3:$F$41,5,0)</f>
        <v>0.35</v>
      </c>
      <c r="G10" s="11">
        <f>VLOOKUP(MID(B10,2,LEN(B10)),'Điểm bài tập lớn'!$B$3:$D$41,3,0)</f>
        <v>1</v>
      </c>
      <c r="H10" s="11">
        <f>VLOOKUP(MID(B10,2,LEN(B10)),'Điểm lý thuyết'!$B$3:$D$41,3,0)</f>
        <v>4.5</v>
      </c>
      <c r="I10" s="11">
        <f t="shared" si="1"/>
        <v>4.7</v>
      </c>
      <c r="J10" s="12">
        <f>IF(OR(G10=0,VALUE(LEFT(B10,1))&gt;2),0,ROUND(I10+VLOOKUP(VALUE(LEFT(B10,1)),'Các bảng tham chiếu &amp; Thống kê'!$E$3:$F$5,2,0),1))</f>
        <v>5.7</v>
      </c>
      <c r="K10" s="11" t="str">
        <f>LOOKUP(J10,'Các bảng tham chiếu &amp; Thống kê'!$A$3:$A$10,'Các bảng tham chiếu &amp; Thống kê'!$B$3:$B$10)</f>
        <v>C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9">
        <v>5.0</v>
      </c>
      <c r="B11" s="10" t="s">
        <v>25</v>
      </c>
      <c r="C11" s="10" t="str">
        <f>VLOOKUP(MID(B11,2,LEN(B11)),'Điểm thực hành các buổi'!$B$3:$C$41,2,0)</f>
        <v>Lê Thị Trúc Linh</v>
      </c>
      <c r="D11" s="11">
        <f>VLOOKUP(MID(B11,2,LEN(B11)),'Điểm thực hành các buổi'!$B$3:$D$41,3,0)</f>
        <v>0.45</v>
      </c>
      <c r="E11" s="11">
        <f>VLOOKUP(MID(B11,2,LEN(B11)),'Điểm thực hành các buổi'!$B$3:$E$41,4,0)</f>
        <v>0.4</v>
      </c>
      <c r="F11" s="11">
        <f>VLOOKUP(MID(B11,2,LEN(B11)),'Điểm thực hành các buổi'!$B$3:$F$41,5,0)</f>
        <v>0.35</v>
      </c>
      <c r="G11" s="11">
        <f>VLOOKUP(MID(B11,2,LEN(B11)),'Điểm bài tập lớn'!$B$3:$D$41,3,0)</f>
        <v>0.75</v>
      </c>
      <c r="H11" s="11">
        <f>VLOOKUP(MID(B11,2,LEN(B11)),'Điểm lý thuyết'!$B$3:$D$41,3,0)</f>
        <v>5.5</v>
      </c>
      <c r="I11" s="11">
        <f t="shared" si="1"/>
        <v>5.3</v>
      </c>
      <c r="J11" s="12">
        <f>IF(OR(G11=0,VALUE(LEFT(B11,1))&gt;2),0,ROUND(I11+VLOOKUP(VALUE(LEFT(B11,1)),'Các bảng tham chiếu &amp; Thống kê'!$E$3:$F$5,2,0),1))</f>
        <v>5.6</v>
      </c>
      <c r="K11" s="11" t="str">
        <f>LOOKUP(J11,'Các bảng tham chiếu &amp; Thống kê'!$A$3:$A$10,'Các bảng tham chiếu &amp; Thống kê'!$B$3:$B$10)</f>
        <v>C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9">
        <v>6.0</v>
      </c>
      <c r="B12" s="10" t="s">
        <v>26</v>
      </c>
      <c r="C12" s="10" t="str">
        <f>VLOOKUP(MID(B12,2,LEN(B12)),'Điểm thực hành các buổi'!$B$3:$C$41,2,0)</f>
        <v>Phạm Thị Huỳnh Như</v>
      </c>
      <c r="D12" s="11">
        <f>VLOOKUP(MID(B12,2,LEN(B12)),'Điểm thực hành các buổi'!$B$3:$D$41,3,0)</f>
        <v>0.4</v>
      </c>
      <c r="E12" s="11">
        <f>VLOOKUP(MID(B12,2,LEN(B12)),'Điểm thực hành các buổi'!$B$3:$E$41,4,0)</f>
        <v>0.45</v>
      </c>
      <c r="F12" s="11">
        <f>VLOOKUP(MID(B12,2,LEN(B12)),'Điểm thực hành các buổi'!$B$3:$F$41,5,0)</f>
        <v>0.5</v>
      </c>
      <c r="G12" s="11">
        <f>VLOOKUP(MID(B12,2,LEN(B12)),'Điểm bài tập lớn'!$B$3:$D$41,3,0)</f>
        <v>1.2</v>
      </c>
      <c r="H12" s="11">
        <f>VLOOKUP(MID(B12,2,LEN(B12)),'Điểm lý thuyết'!$B$3:$D$41,3,0)</f>
        <v>7.5</v>
      </c>
      <c r="I12" s="11">
        <f t="shared" si="1"/>
        <v>7.1</v>
      </c>
      <c r="J12" s="12">
        <f>IF(OR(G12=0,VALUE(LEFT(B12,1))&gt;2),0,ROUND(I12+VLOOKUP(VALUE(LEFT(B12,1)),'Các bảng tham chiếu &amp; Thống kê'!$E$3:$F$5,2,0),1))</f>
        <v>8.1</v>
      </c>
      <c r="K12" s="11" t="str">
        <f>LOOKUP(J12,'Các bảng tham chiếu &amp; Thống kê'!$A$3:$A$10,'Các bảng tham chiếu &amp; Thống kê'!$B$3:$B$10)</f>
        <v>B+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9">
        <v>7.0</v>
      </c>
      <c r="B13" s="10" t="s">
        <v>27</v>
      </c>
      <c r="C13" s="10" t="str">
        <f>VLOOKUP(MID(B13,2,LEN(B13)),'Điểm thực hành các buổi'!$B$3:$C$41,2,0)</f>
        <v>Lê Minh Thông</v>
      </c>
      <c r="D13" s="11">
        <f>VLOOKUP(MID(B13,2,LEN(B13)),'Điểm thực hành các buổi'!$B$3:$D$41,3,0)</f>
        <v>0.4</v>
      </c>
      <c r="E13" s="11">
        <f>VLOOKUP(MID(B13,2,LEN(B13)),'Điểm thực hành các buổi'!$B$3:$E$41,4,0)</f>
        <v>0.4</v>
      </c>
      <c r="F13" s="11">
        <f>VLOOKUP(MID(B13,2,LEN(B13)),'Điểm thực hành các buổi'!$B$3:$F$41,5,0)</f>
        <v>0.4</v>
      </c>
      <c r="G13" s="11">
        <f>VLOOKUP(MID(B13,2,LEN(B13)),'Điểm bài tập lớn'!$B$3:$D$41,3,0)</f>
        <v>1</v>
      </c>
      <c r="H13" s="11">
        <f>VLOOKUP(MID(B13,2,LEN(B13)),'Điểm lý thuyết'!$B$3:$D$41,3,0)</f>
        <v>5.3</v>
      </c>
      <c r="I13" s="11">
        <f t="shared" si="1"/>
        <v>5.4</v>
      </c>
      <c r="J13" s="12">
        <f>IF(OR(G13=0,VALUE(LEFT(B13,1))&gt;2),0,ROUND(I13+VLOOKUP(VALUE(LEFT(B13,1)),'Các bảng tham chiếu &amp; Thống kê'!$E$3:$F$5,2,0),1))</f>
        <v>6.4</v>
      </c>
      <c r="K13" s="11" t="str">
        <f>LOOKUP(J13,'Các bảng tham chiếu &amp; Thống kê'!$A$3:$A$10,'Các bảng tham chiếu &amp; Thống kê'!$B$3:$B$10)</f>
        <v>C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9">
        <v>8.0</v>
      </c>
      <c r="B14" s="10" t="s">
        <v>28</v>
      </c>
      <c r="C14" s="10" t="str">
        <f>VLOOKUP(MID(B14,2,LEN(B14)),'Điểm thực hành các buổi'!$B$3:$C$41,2,0)</f>
        <v>Quách Thu Vân</v>
      </c>
      <c r="D14" s="11">
        <f>VLOOKUP(MID(B14,2,LEN(B14)),'Điểm thực hành các buổi'!$B$3:$D$41,3,0)</f>
        <v>0.45</v>
      </c>
      <c r="E14" s="11">
        <f>VLOOKUP(MID(B14,2,LEN(B14)),'Điểm thực hành các buổi'!$B$3:$E$41,4,0)</f>
        <v>0.4</v>
      </c>
      <c r="F14" s="11">
        <f>VLOOKUP(MID(B14,2,LEN(B14)),'Điểm thực hành các buổi'!$B$3:$F$41,5,0)</f>
        <v>0.4</v>
      </c>
      <c r="G14" s="11">
        <f>VLOOKUP(MID(B14,2,LEN(B14)),'Điểm bài tập lớn'!$B$3:$D$41,3,0)</f>
        <v>1</v>
      </c>
      <c r="H14" s="11">
        <f>VLOOKUP(MID(B14,2,LEN(B14)),'Điểm lý thuyết'!$B$3:$D$41,3,0)</f>
        <v>7.7</v>
      </c>
      <c r="I14" s="11">
        <f t="shared" si="1"/>
        <v>6.9</v>
      </c>
      <c r="J14" s="12">
        <f>IF(OR(G14=0,VALUE(LEFT(B14,1))&gt;2),0,ROUND(I14+VLOOKUP(VALUE(LEFT(B14,1)),'Các bảng tham chiếu &amp; Thống kê'!$E$3:$F$5,2,0),1))</f>
        <v>7.9</v>
      </c>
      <c r="K14" s="11" t="str">
        <f>LOOKUP(J14,'Các bảng tham chiếu &amp; Thống kê'!$A$3:$A$10,'Các bảng tham chiếu &amp; Thống kê'!$B$3:$B$10)</f>
        <v>B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9">
        <v>9.0</v>
      </c>
      <c r="B15" s="10" t="s">
        <v>29</v>
      </c>
      <c r="C15" s="10" t="str">
        <f>VLOOKUP(MID(B15,2,LEN(B15)),'Điểm thực hành các buổi'!$B$3:$C$41,2,0)</f>
        <v>Trần Thị Kim Khoa</v>
      </c>
      <c r="D15" s="11">
        <f>VLOOKUP(MID(B15,2,LEN(B15)),'Điểm thực hành các buổi'!$B$3:$D$41,3,0)</f>
        <v>0.5</v>
      </c>
      <c r="E15" s="11">
        <f>VLOOKUP(MID(B15,2,LEN(B15)),'Điểm thực hành các buổi'!$B$3:$E$41,4,0)</f>
        <v>0.4</v>
      </c>
      <c r="F15" s="11">
        <f>VLOOKUP(MID(B15,2,LEN(B15)),'Điểm thực hành các buổi'!$B$3:$F$41,5,0)</f>
        <v>0.4</v>
      </c>
      <c r="G15" s="11">
        <f>VLOOKUP(MID(B15,2,LEN(B15)),'Điểm bài tập lớn'!$B$3:$D$41,3,0)</f>
        <v>1</v>
      </c>
      <c r="H15" s="11">
        <f>VLOOKUP(MID(B15,2,LEN(B15)),'Điểm lý thuyết'!$B$3:$D$41,3,0)</f>
        <v>-3</v>
      </c>
      <c r="I15" s="11">
        <f t="shared" si="1"/>
        <v>0</v>
      </c>
      <c r="J15" s="12">
        <f>IF(OR(G15=0,VALUE(LEFT(B15,1))&gt;2),0,ROUND(I15+VLOOKUP(VALUE(LEFT(B15,1)),'Các bảng tham chiếu &amp; Thống kê'!$E$3:$F$5,2,0),1))</f>
        <v>0</v>
      </c>
      <c r="K15" s="11" t="str">
        <f>LOOKUP(J15,'Các bảng tham chiếu &amp; Thống kê'!$A$3:$A$10,'Các bảng tham chiếu &amp; Thống kê'!$B$3:$B$10)</f>
        <v>F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9">
        <v>10.0</v>
      </c>
      <c r="B16" s="10" t="s">
        <v>30</v>
      </c>
      <c r="C16" s="10" t="str">
        <f>VLOOKUP(MID(B16,2,LEN(B16)),'Điểm thực hành các buổi'!$B$3:$C$41,2,0)</f>
        <v>Huỳnh Thị Hồng Loan</v>
      </c>
      <c r="D16" s="11">
        <f>VLOOKUP(MID(B16,2,LEN(B16)),'Điểm thực hành các buổi'!$B$3:$D$41,3,0)</f>
        <v>0.45</v>
      </c>
      <c r="E16" s="11">
        <f>VLOOKUP(MID(B16,2,LEN(B16)),'Điểm thực hành các buổi'!$B$3:$E$41,4,0)</f>
        <v>0.4</v>
      </c>
      <c r="F16" s="11">
        <f>VLOOKUP(MID(B16,2,LEN(B16)),'Điểm thực hành các buổi'!$B$3:$F$41,5,0)</f>
        <v>0.45</v>
      </c>
      <c r="G16" s="11">
        <f>VLOOKUP(MID(B16,2,LEN(B16)),'Điểm bài tập lớn'!$B$3:$D$41,3,0)</f>
        <v>0</v>
      </c>
      <c r="H16" s="11">
        <f>VLOOKUP(MID(B16,2,LEN(B16)),'Điểm lý thuyết'!$B$3:$D$41,3,0)</f>
        <v>6.8</v>
      </c>
      <c r="I16" s="11">
        <f t="shared" si="1"/>
        <v>5.4</v>
      </c>
      <c r="J16" s="12">
        <f>IF(OR(G16=0,VALUE(LEFT(B16,1))&gt;2),0,ROUND(I16+VLOOKUP(VALUE(LEFT(B16,1)),'Các bảng tham chiếu &amp; Thống kê'!$E$3:$F$5,2,0),1))</f>
        <v>0</v>
      </c>
      <c r="K16" s="11" t="str">
        <f>LOOKUP(J16,'Các bảng tham chiếu &amp; Thống kê'!$A$3:$A$10,'Các bảng tham chiếu &amp; Thống kê'!$B$3:$B$10)</f>
        <v>F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9">
        <v>11.0</v>
      </c>
      <c r="B17" s="10" t="s">
        <v>31</v>
      </c>
      <c r="C17" s="10" t="str">
        <f>VLOOKUP(MID(B17,2,LEN(B17)),'Điểm thực hành các buổi'!$B$3:$C$41,2,0)</f>
        <v>Trần Thị Thanh Nguyên</v>
      </c>
      <c r="D17" s="11">
        <f>VLOOKUP(MID(B17,2,LEN(B17)),'Điểm thực hành các buổi'!$B$3:$D$41,3,0)</f>
        <v>0.45</v>
      </c>
      <c r="E17" s="11">
        <f>VLOOKUP(MID(B17,2,LEN(B17)),'Điểm thực hành các buổi'!$B$3:$E$41,4,0)</f>
        <v>0.4</v>
      </c>
      <c r="F17" s="11">
        <f>VLOOKUP(MID(B17,2,LEN(B17)),'Điểm thực hành các buổi'!$B$3:$F$41,5,0)</f>
        <v>0.4</v>
      </c>
      <c r="G17" s="11">
        <f>VLOOKUP(MID(B17,2,LEN(B17)),'Điểm bài tập lớn'!$B$3:$D$41,3,0)</f>
        <v>0.75</v>
      </c>
      <c r="H17" s="11">
        <f>VLOOKUP(MID(B17,2,LEN(B17)),'Điểm lý thuyết'!$B$3:$D$41,3,0)</f>
        <v>6.3</v>
      </c>
      <c r="I17" s="11">
        <f t="shared" si="1"/>
        <v>5.8</v>
      </c>
      <c r="J17" s="12">
        <f>IF(OR(G17=0,VALUE(LEFT(B17,1))&gt;2),0,ROUND(I17+VLOOKUP(VALUE(LEFT(B17,1)),'Các bảng tham chiếu &amp; Thống kê'!$E$3:$F$5,2,0),1))</f>
        <v>6.8</v>
      </c>
      <c r="K17" s="11" t="str">
        <f>LOOKUP(J17,'Các bảng tham chiếu &amp; Thống kê'!$A$3:$A$10,'Các bảng tham chiếu &amp; Thống kê'!$B$3:$B$10)</f>
        <v>C+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9">
        <v>12.0</v>
      </c>
      <c r="B18" s="10" t="s">
        <v>32</v>
      </c>
      <c r="C18" s="10" t="str">
        <f>VLOOKUP(MID(B18,2,LEN(B18)),'Điểm thực hành các buổi'!$B$3:$C$41,2,0)</f>
        <v>Nguyễn Thị Thúy Nga</v>
      </c>
      <c r="D18" s="11">
        <f>VLOOKUP(MID(B18,2,LEN(B18)),'Điểm thực hành các buổi'!$B$3:$D$41,3,0)</f>
        <v>0.3</v>
      </c>
      <c r="E18" s="11">
        <f>VLOOKUP(MID(B18,2,LEN(B18)),'Điểm thực hành các buổi'!$B$3:$E$41,4,0)</f>
        <v>0.5</v>
      </c>
      <c r="F18" s="11">
        <f>VLOOKUP(MID(B18,2,LEN(B18)),'Điểm thực hành các buổi'!$B$3:$F$41,5,0)</f>
        <v>0.45</v>
      </c>
      <c r="G18" s="11">
        <f>VLOOKUP(MID(B18,2,LEN(B18)),'Điểm bài tập lớn'!$B$3:$D$41,3,0)</f>
        <v>0.3</v>
      </c>
      <c r="H18" s="11">
        <f>VLOOKUP(MID(B18,2,LEN(B18)),'Điểm lý thuyết'!$B$3:$D$41,3,0)</f>
        <v>8.3</v>
      </c>
      <c r="I18" s="11">
        <f t="shared" si="1"/>
        <v>6.5</v>
      </c>
      <c r="J18" s="12">
        <f>IF(OR(G18=0,VALUE(LEFT(B18,1))&gt;2),0,ROUND(I18+VLOOKUP(VALUE(LEFT(B18,1)),'Các bảng tham chiếu &amp; Thống kê'!$E$3:$F$5,2,0),1))</f>
        <v>7</v>
      </c>
      <c r="K18" s="11" t="str">
        <f>LOOKUP(J18,'Các bảng tham chiếu &amp; Thống kê'!$A$3:$A$10,'Các bảng tham chiếu &amp; Thống kê'!$B$3:$B$10)</f>
        <v>B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9">
        <v>13.0</v>
      </c>
      <c r="B19" s="10" t="s">
        <v>33</v>
      </c>
      <c r="C19" s="10" t="str">
        <f>VLOOKUP(MID(B19,2,LEN(B19)),'Điểm thực hành các buổi'!$B$3:$C$41,2,0)</f>
        <v>Vũ Mạnh Thắng</v>
      </c>
      <c r="D19" s="11">
        <f>VLOOKUP(MID(B19,2,LEN(B19)),'Điểm thực hành các buổi'!$B$3:$D$41,3,0)</f>
        <v>0.4</v>
      </c>
      <c r="E19" s="11">
        <f>VLOOKUP(MID(B19,2,LEN(B19)),'Điểm thực hành các buổi'!$B$3:$E$41,4,0)</f>
        <v>0.5</v>
      </c>
      <c r="F19" s="11">
        <f>VLOOKUP(MID(B19,2,LEN(B19)),'Điểm thực hành các buổi'!$B$3:$F$41,5,0)</f>
        <v>0.5</v>
      </c>
      <c r="G19" s="11">
        <f>VLOOKUP(MID(B19,2,LEN(B19)),'Điểm bài tập lớn'!$B$3:$D$41,3,0)</f>
        <v>1.2</v>
      </c>
      <c r="H19" s="11">
        <f>VLOOKUP(MID(B19,2,LEN(B19)),'Điểm lý thuyết'!$B$3:$D$41,3,0)</f>
        <v>5.5</v>
      </c>
      <c r="I19" s="11">
        <f t="shared" si="1"/>
        <v>5.9</v>
      </c>
      <c r="J19" s="12">
        <f>IF(OR(G19=0,VALUE(LEFT(B19,1))&gt;2),0,ROUND(I19+VLOOKUP(VALUE(LEFT(B19,1)),'Các bảng tham chiếu &amp; Thống kê'!$E$3:$F$5,2,0),1))</f>
        <v>6.9</v>
      </c>
      <c r="K19" s="11" t="str">
        <f>LOOKUP(J19,'Các bảng tham chiếu &amp; Thống kê'!$A$3:$A$10,'Các bảng tham chiếu &amp; Thống kê'!$B$3:$B$10)</f>
        <v>C+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9">
        <v>14.0</v>
      </c>
      <c r="B20" s="10" t="s">
        <v>34</v>
      </c>
      <c r="C20" s="10" t="str">
        <f>VLOOKUP(MID(B20,2,LEN(B20)),'Điểm thực hành các buổi'!$B$3:$C$41,2,0)</f>
        <v>Cao Ngọc Quyên</v>
      </c>
      <c r="D20" s="11">
        <f>VLOOKUP(MID(B20,2,LEN(B20)),'Điểm thực hành các buổi'!$B$3:$D$41,3,0)</f>
        <v>0.5</v>
      </c>
      <c r="E20" s="11">
        <f>VLOOKUP(MID(B20,2,LEN(B20)),'Điểm thực hành các buổi'!$B$3:$E$41,4,0)</f>
        <v>0.5</v>
      </c>
      <c r="F20" s="11">
        <f>VLOOKUP(MID(B20,2,LEN(B20)),'Điểm thực hành các buổi'!$B$3:$F$41,5,0)</f>
        <v>0.45</v>
      </c>
      <c r="G20" s="11">
        <f>VLOOKUP(MID(B20,2,LEN(B20)),'Điểm bài tập lớn'!$B$3:$D$41,3,0)</f>
        <v>0.3</v>
      </c>
      <c r="H20" s="11">
        <f>VLOOKUP(MID(B20,2,LEN(B20)),'Điểm lý thuyết'!$B$3:$D$41,3,0)</f>
        <v>6</v>
      </c>
      <c r="I20" s="11">
        <f t="shared" si="1"/>
        <v>5.4</v>
      </c>
      <c r="J20" s="12">
        <f>IF(OR(G20=0,VALUE(LEFT(B20,1))&gt;2),0,ROUND(I20+VLOOKUP(VALUE(LEFT(B20,1)),'Các bảng tham chiếu &amp; Thống kê'!$E$3:$F$5,2,0),1))</f>
        <v>6.4</v>
      </c>
      <c r="K20" s="11" t="str">
        <f>LOOKUP(J20,'Các bảng tham chiếu &amp; Thống kê'!$A$3:$A$10,'Các bảng tham chiếu &amp; Thống kê'!$B$3:$B$10)</f>
        <v>C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9">
        <v>15.0</v>
      </c>
      <c r="B21" s="10" t="s">
        <v>35</v>
      </c>
      <c r="C21" s="10" t="str">
        <f>VLOOKUP(MID(B21,2,LEN(B21)),'Điểm thực hành các buổi'!$B$3:$C$41,2,0)</f>
        <v>Nguyễn Chí Thanh</v>
      </c>
      <c r="D21" s="11">
        <f>VLOOKUP(MID(B21,2,LEN(B21)),'Điểm thực hành các buổi'!$B$3:$D$41,3,0)</f>
        <v>0.4</v>
      </c>
      <c r="E21" s="11">
        <f>VLOOKUP(MID(B21,2,LEN(B21)),'Điểm thực hành các buổi'!$B$3:$E$41,4,0)</f>
        <v>0.45</v>
      </c>
      <c r="F21" s="11">
        <f>VLOOKUP(MID(B21,2,LEN(B21)),'Điểm thực hành các buổi'!$B$3:$F$41,5,0)</f>
        <v>0.4</v>
      </c>
      <c r="G21" s="11">
        <f>VLOOKUP(MID(B21,2,LEN(B21)),'Điểm bài tập lớn'!$B$3:$D$41,3,0)</f>
        <v>0.3</v>
      </c>
      <c r="H21" s="11">
        <f>VLOOKUP(MID(B21,2,LEN(B21)),'Điểm lý thuyết'!$B$3:$D$41,3,0)</f>
        <v>-3</v>
      </c>
      <c r="I21" s="11">
        <f t="shared" si="1"/>
        <v>0</v>
      </c>
      <c r="J21" s="12">
        <f>IF(OR(G21=0,VALUE(LEFT(B21,1))&gt;2),0,ROUND(I21+VLOOKUP(VALUE(LEFT(B21,1)),'Các bảng tham chiếu &amp; Thống kê'!$E$3:$F$5,2,0),1))</f>
        <v>0</v>
      </c>
      <c r="K21" s="11" t="str">
        <f>LOOKUP(J21,'Các bảng tham chiếu &amp; Thống kê'!$A$3:$A$10,'Các bảng tham chiếu &amp; Thống kê'!$B$3:$B$10)</f>
        <v>F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9">
        <v>16.0</v>
      </c>
      <c r="B22" s="10" t="s">
        <v>36</v>
      </c>
      <c r="C22" s="10" t="str">
        <f>VLOOKUP(MID(B22,2,LEN(B22)),'Điểm thực hành các buổi'!$B$3:$C$41,2,0)</f>
        <v>Nguyễn Bích Ngân</v>
      </c>
      <c r="D22" s="11">
        <f>VLOOKUP(MID(B22,2,LEN(B22)),'Điểm thực hành các buổi'!$B$3:$D$41,3,0)</f>
        <v>0.4</v>
      </c>
      <c r="E22" s="11">
        <f>VLOOKUP(MID(B22,2,LEN(B22)),'Điểm thực hành các buổi'!$B$3:$E$41,4,0)</f>
        <v>0.45</v>
      </c>
      <c r="F22" s="11">
        <f>VLOOKUP(MID(B22,2,LEN(B22)),'Điểm thực hành các buổi'!$B$3:$F$41,5,0)</f>
        <v>0.45</v>
      </c>
      <c r="G22" s="11">
        <f>VLOOKUP(MID(B22,2,LEN(B22)),'Điểm bài tập lớn'!$B$3:$D$41,3,0)</f>
        <v>1</v>
      </c>
      <c r="H22" s="11">
        <f>VLOOKUP(MID(B22,2,LEN(B22)),'Điểm lý thuyết'!$B$3:$D$41,3,0)</f>
        <v>5.7</v>
      </c>
      <c r="I22" s="11">
        <f t="shared" si="1"/>
        <v>5.7</v>
      </c>
      <c r="J22" s="12">
        <f>IF(OR(G22=0,VALUE(LEFT(B22,1))&gt;2),0,ROUND(I22+VLOOKUP(VALUE(LEFT(B22,1)),'Các bảng tham chiếu &amp; Thống kê'!$E$3:$F$5,2,0),1))</f>
        <v>6.7</v>
      </c>
      <c r="K22" s="11" t="str">
        <f>LOOKUP(J22,'Các bảng tham chiếu &amp; Thống kê'!$A$3:$A$10,'Các bảng tham chiếu &amp; Thống kê'!$B$3:$B$10)</f>
        <v>C+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9">
        <v>17.0</v>
      </c>
      <c r="B23" s="10" t="s">
        <v>37</v>
      </c>
      <c r="C23" s="10" t="str">
        <f>VLOOKUP(MID(B23,2,LEN(B23)),'Điểm thực hành các buổi'!$B$3:$C$41,2,0)</f>
        <v>Nguyễn Hải Anh</v>
      </c>
      <c r="D23" s="11">
        <f>VLOOKUP(MID(B23,2,LEN(B23)),'Điểm thực hành các buổi'!$B$3:$D$41,3,0)</f>
        <v>0.5</v>
      </c>
      <c r="E23" s="11">
        <f>VLOOKUP(MID(B23,2,LEN(B23)),'Điểm thực hành các buổi'!$B$3:$E$41,4,0)</f>
        <v>0.5</v>
      </c>
      <c r="F23" s="11">
        <f>VLOOKUP(MID(B23,2,LEN(B23)),'Điểm thực hành các buổi'!$B$3:$F$41,5,0)</f>
        <v>0.45</v>
      </c>
      <c r="G23" s="11">
        <f>VLOOKUP(MID(B23,2,LEN(B23)),'Điểm bài tập lớn'!$B$3:$D$41,3,0)</f>
        <v>1.5</v>
      </c>
      <c r="H23" s="11">
        <f>VLOOKUP(MID(B23,2,LEN(B23)),'Điểm lý thuyết'!$B$3:$D$41,3,0)</f>
        <v>7</v>
      </c>
      <c r="I23" s="11">
        <f t="shared" si="1"/>
        <v>7.2</v>
      </c>
      <c r="J23" s="12">
        <f>IF(OR(G23=0,VALUE(LEFT(B23,1))&gt;2),0,ROUND(I23+VLOOKUP(VALUE(LEFT(B23,1)),'Các bảng tham chiếu &amp; Thống kê'!$E$3:$F$5,2,0),1))</f>
        <v>7.5</v>
      </c>
      <c r="K23" s="11" t="str">
        <f>LOOKUP(J23,'Các bảng tham chiếu &amp; Thống kê'!$A$3:$A$10,'Các bảng tham chiếu &amp; Thống kê'!$B$3:$B$10)</f>
        <v>B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9">
        <v>18.0</v>
      </c>
      <c r="B24" s="10" t="s">
        <v>38</v>
      </c>
      <c r="C24" s="10" t="str">
        <f>VLOOKUP(MID(B24,2,LEN(B24)),'Điểm thực hành các buổi'!$B$3:$C$41,2,0)</f>
        <v>Nguyễn Hoàng Châu</v>
      </c>
      <c r="D24" s="11">
        <f>VLOOKUP(MID(B24,2,LEN(B24)),'Điểm thực hành các buổi'!$B$3:$D$41,3,0)</f>
        <v>0.4</v>
      </c>
      <c r="E24" s="11">
        <f>VLOOKUP(MID(B24,2,LEN(B24)),'Điểm thực hành các buổi'!$B$3:$E$41,4,0)</f>
        <v>0.4</v>
      </c>
      <c r="F24" s="11">
        <f>VLOOKUP(MID(B24,2,LEN(B24)),'Điểm thực hành các buổi'!$B$3:$F$41,5,0)</f>
        <v>0.4</v>
      </c>
      <c r="G24" s="11">
        <f>VLOOKUP(MID(B24,2,LEN(B24)),'Điểm bài tập lớn'!$B$3:$D$41,3,0)</f>
        <v>0.3</v>
      </c>
      <c r="H24" s="11">
        <f>VLOOKUP(MID(B24,2,LEN(B24)),'Điểm lý thuyết'!$B$3:$D$41,3,0)</f>
        <v>6.5</v>
      </c>
      <c r="I24" s="11">
        <f t="shared" si="1"/>
        <v>5.4</v>
      </c>
      <c r="J24" s="12">
        <f>IF(OR(G24=0,VALUE(LEFT(B24,1))&gt;2),0,ROUND(I24+VLOOKUP(VALUE(LEFT(B24,1)),'Các bảng tham chiếu &amp; Thống kê'!$E$3:$F$5,2,0),1))</f>
        <v>6.4</v>
      </c>
      <c r="K24" s="11" t="str">
        <f>LOOKUP(J24,'Các bảng tham chiếu &amp; Thống kê'!$A$3:$A$10,'Các bảng tham chiếu &amp; Thống kê'!$B$3:$B$10)</f>
        <v>C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9">
        <v>19.0</v>
      </c>
      <c r="B25" s="10" t="s">
        <v>39</v>
      </c>
      <c r="C25" s="10" t="str">
        <f>VLOOKUP(MID(B25,2,LEN(B25)),'Điểm thực hành các buổi'!$B$3:$C$41,2,0)</f>
        <v>Trần Nam Dương</v>
      </c>
      <c r="D25" s="11">
        <f>VLOOKUP(MID(B25,2,LEN(B25)),'Điểm thực hành các buổi'!$B$3:$D$41,3,0)</f>
        <v>0.4</v>
      </c>
      <c r="E25" s="11">
        <f>VLOOKUP(MID(B25,2,LEN(B25)),'Điểm thực hành các buổi'!$B$3:$E$41,4,0)</f>
        <v>0.4</v>
      </c>
      <c r="F25" s="11">
        <f>VLOOKUP(MID(B25,2,LEN(B25)),'Điểm thực hành các buổi'!$B$3:$F$41,5,0)</f>
        <v>0.35</v>
      </c>
      <c r="G25" s="11">
        <f>VLOOKUP(MID(B25,2,LEN(B25)),'Điểm bài tập lớn'!$B$3:$D$41,3,0)</f>
        <v>1.35</v>
      </c>
      <c r="H25" s="11">
        <f>VLOOKUP(MID(B25,2,LEN(B25)),'Điểm lý thuyết'!$B$3:$D$41,3,0)</f>
        <v>-3</v>
      </c>
      <c r="I25" s="11">
        <f t="shared" si="1"/>
        <v>0</v>
      </c>
      <c r="J25" s="12">
        <f>IF(OR(G25=0,VALUE(LEFT(B25,1))&gt;2),0,ROUND(I25+VLOOKUP(VALUE(LEFT(B25,1)),'Các bảng tham chiếu &amp; Thống kê'!$E$3:$F$5,2,0),1))</f>
        <v>0</v>
      </c>
      <c r="K25" s="11" t="str">
        <f>LOOKUP(J25,'Các bảng tham chiếu &amp; Thống kê'!$A$3:$A$10,'Các bảng tham chiếu &amp; Thống kê'!$B$3:$B$10)</f>
        <v>F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9">
        <v>20.0</v>
      </c>
      <c r="B26" s="10" t="s">
        <v>40</v>
      </c>
      <c r="C26" s="10" t="str">
        <f>VLOOKUP(MID(B26,2,LEN(B26)),'Điểm thực hành các buổi'!$B$3:$C$41,2,0)</f>
        <v>Đào Nguyễn Duy Khanh</v>
      </c>
      <c r="D26" s="11">
        <f>VLOOKUP(MID(B26,2,LEN(B26)),'Điểm thực hành các buổi'!$B$3:$D$41,3,0)</f>
        <v>0.35</v>
      </c>
      <c r="E26" s="11">
        <f>VLOOKUP(MID(B26,2,LEN(B26)),'Điểm thực hành các buổi'!$B$3:$E$41,4,0)</f>
        <v>0.4</v>
      </c>
      <c r="F26" s="11">
        <f>VLOOKUP(MID(B26,2,LEN(B26)),'Điểm thực hành các buổi'!$B$3:$F$41,5,0)</f>
        <v>0</v>
      </c>
      <c r="G26" s="11">
        <f>VLOOKUP(MID(B26,2,LEN(B26)),'Điểm bài tập lớn'!$B$3:$D$41,3,0)</f>
        <v>0.85</v>
      </c>
      <c r="H26" s="11">
        <f>VLOOKUP(MID(B26,2,LEN(B26)),'Điểm lý thuyết'!$B$3:$D$41,3,0)</f>
        <v>6.5</v>
      </c>
      <c r="I26" s="11">
        <f t="shared" si="1"/>
        <v>5.5</v>
      </c>
      <c r="J26" s="12">
        <f>IF(OR(G26=0,VALUE(LEFT(B26,1))&gt;2),0,ROUND(I26+VLOOKUP(VALUE(LEFT(B26,1)),'Các bảng tham chiếu &amp; Thống kê'!$E$3:$F$5,2,0),1))</f>
        <v>6.5</v>
      </c>
      <c r="K26" s="11" t="str">
        <f>LOOKUP(J26,'Các bảng tham chiếu &amp; Thống kê'!$A$3:$A$10,'Các bảng tham chiếu &amp; Thống kê'!$B$3:$B$10)</f>
        <v>C+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9">
        <v>21.0</v>
      </c>
      <c r="B27" s="10" t="s">
        <v>41</v>
      </c>
      <c r="C27" s="10" t="str">
        <f>VLOOKUP(MID(B27,2,LEN(B27)),'Điểm thực hành các buổi'!$B$3:$C$41,2,0)</f>
        <v>Ngô Hùng Vĩ</v>
      </c>
      <c r="D27" s="11">
        <f>VLOOKUP(MID(B27,2,LEN(B27)),'Điểm thực hành các buổi'!$B$3:$D$41,3,0)</f>
        <v>0.5</v>
      </c>
      <c r="E27" s="11">
        <f>VLOOKUP(MID(B27,2,LEN(B27)),'Điểm thực hành các buổi'!$B$3:$E$41,4,0)</f>
        <v>0.4</v>
      </c>
      <c r="F27" s="11">
        <f>VLOOKUP(MID(B27,2,LEN(B27)),'Điểm thực hành các buổi'!$B$3:$F$41,5,0)</f>
        <v>0.45</v>
      </c>
      <c r="G27" s="11">
        <f>VLOOKUP(MID(B27,2,LEN(B27)),'Điểm bài tập lớn'!$B$3:$D$41,3,0)</f>
        <v>1.35</v>
      </c>
      <c r="H27" s="11">
        <f>VLOOKUP(MID(B27,2,LEN(B27)),'Điểm lý thuyết'!$B$3:$D$41,3,0)</f>
        <v>6.7</v>
      </c>
      <c r="I27" s="11">
        <f t="shared" si="1"/>
        <v>6.7</v>
      </c>
      <c r="J27" s="12">
        <f>IF(OR(G27=0,VALUE(LEFT(B27,1))&gt;2),0,ROUND(I27+VLOOKUP(VALUE(LEFT(B27,1)),'Các bảng tham chiếu &amp; Thống kê'!$E$3:$F$5,2,0),1))</f>
        <v>7.7</v>
      </c>
      <c r="K27" s="11" t="str">
        <f>LOOKUP(J27,'Các bảng tham chiếu &amp; Thống kê'!$A$3:$A$10,'Các bảng tham chiếu &amp; Thống kê'!$B$3:$B$10)</f>
        <v>B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9">
        <v>22.0</v>
      </c>
      <c r="B28" s="10" t="s">
        <v>42</v>
      </c>
      <c r="C28" s="10" t="str">
        <f>VLOOKUP(MID(B28,2,LEN(B28)),'Điểm thực hành các buổi'!$B$3:$C$41,2,0)</f>
        <v>Lê Thanh Tùng</v>
      </c>
      <c r="D28" s="11">
        <f>VLOOKUP(MID(B28,2,LEN(B28)),'Điểm thực hành các buổi'!$B$3:$D$41,3,0)</f>
        <v>0.4</v>
      </c>
      <c r="E28" s="11">
        <f>VLOOKUP(MID(B28,2,LEN(B28)),'Điểm thực hành các buổi'!$B$3:$E$41,4,0)</f>
        <v>0.4</v>
      </c>
      <c r="F28" s="11">
        <f>VLOOKUP(MID(B28,2,LEN(B28)),'Điểm thực hành các buổi'!$B$3:$F$41,5,0)</f>
        <v>0.4</v>
      </c>
      <c r="G28" s="11">
        <f>VLOOKUP(MID(B28,2,LEN(B28)),'Điểm bài tập lớn'!$B$3:$D$41,3,0)</f>
        <v>0</v>
      </c>
      <c r="H28" s="11">
        <f>VLOOKUP(MID(B28,2,LEN(B28)),'Điểm lý thuyết'!$B$3:$D$41,3,0)</f>
        <v>4.5</v>
      </c>
      <c r="I28" s="11">
        <f t="shared" si="1"/>
        <v>3.9</v>
      </c>
      <c r="J28" s="12">
        <f>IF(OR(G28=0,VALUE(LEFT(B28,1))&gt;2),0,ROUND(I28+VLOOKUP(VALUE(LEFT(B28,1)),'Các bảng tham chiếu &amp; Thống kê'!$E$3:$F$5,2,0),1))</f>
        <v>0</v>
      </c>
      <c r="K28" s="11" t="str">
        <f>LOOKUP(J28,'Các bảng tham chiếu &amp; Thống kê'!$A$3:$A$10,'Các bảng tham chiếu &amp; Thống kê'!$B$3:$B$10)</f>
        <v>F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9">
        <v>23.0</v>
      </c>
      <c r="B29" s="10" t="s">
        <v>43</v>
      </c>
      <c r="C29" s="10" t="str">
        <f>VLOOKUP(MID(B29,2,LEN(B29)),'Điểm thực hành các buổi'!$B$3:$C$41,2,0)</f>
        <v>Lê Hồng Quốc Vương</v>
      </c>
      <c r="D29" s="11">
        <f>VLOOKUP(MID(B29,2,LEN(B29)),'Điểm thực hành các buổi'!$B$3:$D$41,3,0)</f>
        <v>0.5</v>
      </c>
      <c r="E29" s="11">
        <f>VLOOKUP(MID(B29,2,LEN(B29)),'Điểm thực hành các buổi'!$B$3:$E$41,4,0)</f>
        <v>0.5</v>
      </c>
      <c r="F29" s="11">
        <f>VLOOKUP(MID(B29,2,LEN(B29)),'Điểm thực hành các buổi'!$B$3:$F$41,5,0)</f>
        <v>0.5</v>
      </c>
      <c r="G29" s="11">
        <f>VLOOKUP(MID(B29,2,LEN(B29)),'Điểm bài tập lớn'!$B$3:$D$41,3,0)</f>
        <v>1.5</v>
      </c>
      <c r="H29" s="11">
        <f>VLOOKUP(MID(B29,2,LEN(B29)),'Điểm lý thuyết'!$B$3:$D$41,3,0)</f>
        <v>7.5</v>
      </c>
      <c r="I29" s="11">
        <f t="shared" si="1"/>
        <v>7.5</v>
      </c>
      <c r="J29" s="12">
        <f>IF(OR(G29=0,VALUE(LEFT(B29,1))&gt;2),0,ROUND(I29+VLOOKUP(VALUE(LEFT(B29,1)),'Các bảng tham chiếu &amp; Thống kê'!$E$3:$F$5,2,0),1))</f>
        <v>8.5</v>
      </c>
      <c r="K29" s="11" t="str">
        <f>LOOKUP(J29,'Các bảng tham chiếu &amp; Thống kê'!$A$3:$A$10,'Các bảng tham chiếu &amp; Thống kê'!$B$3:$B$10)</f>
        <v>B+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9">
        <v>24.0</v>
      </c>
      <c r="B30" s="10" t="s">
        <v>44</v>
      </c>
      <c r="C30" s="10" t="str">
        <f>VLOOKUP(MID(B30,2,LEN(B30)),'Điểm thực hành các buổi'!$B$3:$C$41,2,0)</f>
        <v>Huỳnh Hoàng Ẩn</v>
      </c>
      <c r="D30" s="11">
        <f>VLOOKUP(MID(B30,2,LEN(B30)),'Điểm thực hành các buổi'!$B$3:$D$41,3,0)</f>
        <v>0.45</v>
      </c>
      <c r="E30" s="11">
        <f>VLOOKUP(MID(B30,2,LEN(B30)),'Điểm thực hành các buổi'!$B$3:$E$41,4,0)</f>
        <v>0.3</v>
      </c>
      <c r="F30" s="11">
        <f>VLOOKUP(MID(B30,2,LEN(B30)),'Điểm thực hành các buổi'!$B$3:$F$41,5,0)</f>
        <v>0.45</v>
      </c>
      <c r="G30" s="11">
        <f>VLOOKUP(MID(B30,2,LEN(B30)),'Điểm bài tập lớn'!$B$3:$D$41,3,0)</f>
        <v>1.2</v>
      </c>
      <c r="H30" s="11">
        <f>VLOOKUP(MID(B30,2,LEN(B30)),'Điểm lý thuyết'!$B$3:$D$41,3,0)</f>
        <v>8.8</v>
      </c>
      <c r="I30" s="11">
        <f t="shared" si="1"/>
        <v>7.7</v>
      </c>
      <c r="J30" s="12">
        <f>IF(OR(G30=0,VALUE(LEFT(B30,1))&gt;2),0,ROUND(I30+VLOOKUP(VALUE(LEFT(B30,1)),'Các bảng tham chiếu &amp; Thống kê'!$E$3:$F$5,2,0),1))</f>
        <v>8</v>
      </c>
      <c r="K30" s="11" t="str">
        <f>LOOKUP(J30,'Các bảng tham chiếu &amp; Thống kê'!$A$3:$A$10,'Các bảng tham chiếu &amp; Thống kê'!$B$3:$B$10)</f>
        <v>B+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9">
        <v>25.0</v>
      </c>
      <c r="B31" s="10" t="s">
        <v>45</v>
      </c>
      <c r="C31" s="10" t="str">
        <f>VLOOKUP(MID(B31,2,LEN(B31)),'Điểm thực hành các buổi'!$B$3:$C$41,2,0)</f>
        <v>Hồ Thị Mỷ Huyền</v>
      </c>
      <c r="D31" s="11">
        <f>VLOOKUP(MID(B31,2,LEN(B31)),'Điểm thực hành các buổi'!$B$3:$D$41,3,0)</f>
        <v>0.3</v>
      </c>
      <c r="E31" s="11">
        <f>VLOOKUP(MID(B31,2,LEN(B31)),'Điểm thực hành các buổi'!$B$3:$E$41,4,0)</f>
        <v>0.3</v>
      </c>
      <c r="F31" s="11">
        <f>VLOOKUP(MID(B31,2,LEN(B31)),'Điểm thực hành các buổi'!$B$3:$F$41,5,0)</f>
        <v>0.4</v>
      </c>
      <c r="G31" s="11">
        <f>VLOOKUP(MID(B31,2,LEN(B31)),'Điểm bài tập lớn'!$B$3:$D$41,3,0)</f>
        <v>0.75</v>
      </c>
      <c r="H31" s="11">
        <f>VLOOKUP(MID(B31,2,LEN(B31)),'Điểm lý thuyết'!$B$3:$D$41,3,0)</f>
        <v>6.8</v>
      </c>
      <c r="I31" s="11">
        <f t="shared" si="1"/>
        <v>5.8</v>
      </c>
      <c r="J31" s="12">
        <f>IF(OR(G31=0,VALUE(LEFT(B31,1))&gt;2),0,ROUND(I31+VLOOKUP(VALUE(LEFT(B31,1)),'Các bảng tham chiếu &amp; Thống kê'!$E$3:$F$5,2,0),1))</f>
        <v>6.3</v>
      </c>
      <c r="K31" s="11" t="str">
        <f>LOOKUP(J31,'Các bảng tham chiếu &amp; Thống kê'!$A$3:$A$10,'Các bảng tham chiếu &amp; Thống kê'!$B$3:$B$10)</f>
        <v>C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9">
        <v>26.0</v>
      </c>
      <c r="B32" s="10" t="s">
        <v>46</v>
      </c>
      <c r="C32" s="10" t="str">
        <f>VLOOKUP(MID(B32,2,LEN(B32)),'Điểm thực hành các buổi'!$B$3:$C$41,2,0)</f>
        <v>Đặng Trung Kiên</v>
      </c>
      <c r="D32" s="11">
        <f>VLOOKUP(MID(B32,2,LEN(B32)),'Điểm thực hành các buổi'!$B$3:$D$41,3,0)</f>
        <v>0.5</v>
      </c>
      <c r="E32" s="11">
        <f>VLOOKUP(MID(B32,2,LEN(B32)),'Điểm thực hành các buổi'!$B$3:$E$41,4,0)</f>
        <v>0.3</v>
      </c>
      <c r="F32" s="11">
        <f>VLOOKUP(MID(B32,2,LEN(B32)),'Điểm thực hành các buổi'!$B$3:$F$41,5,0)</f>
        <v>0.45</v>
      </c>
      <c r="G32" s="11">
        <f>VLOOKUP(MID(B32,2,LEN(B32)),'Điểm bài tập lớn'!$B$3:$D$41,3,0)</f>
        <v>1</v>
      </c>
      <c r="H32" s="11">
        <f>VLOOKUP(MID(B32,2,LEN(B32)),'Điểm lý thuyết'!$B$3:$D$41,3,0)</f>
        <v>7.8</v>
      </c>
      <c r="I32" s="11">
        <f t="shared" si="1"/>
        <v>6.9</v>
      </c>
      <c r="J32" s="12">
        <f>IF(OR(G32=0,VALUE(LEFT(B32,1))&gt;2),0,ROUND(I32+VLOOKUP(VALUE(LEFT(B32,1)),'Các bảng tham chiếu &amp; Thống kê'!$E$3:$F$5,2,0),1))</f>
        <v>7.9</v>
      </c>
      <c r="K32" s="11" t="str">
        <f>LOOKUP(J32,'Các bảng tham chiếu &amp; Thống kê'!$A$3:$A$10,'Các bảng tham chiếu &amp; Thống kê'!$B$3:$B$10)</f>
        <v>B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9">
        <v>27.0</v>
      </c>
      <c r="B33" s="10" t="s">
        <v>47</v>
      </c>
      <c r="C33" s="10" t="str">
        <f>VLOOKUP(MID(B33,2,LEN(B33)),'Điểm thực hành các buổi'!$B$3:$C$41,2,0)</f>
        <v>Ngụy Hữu Lộc</v>
      </c>
      <c r="D33" s="11">
        <f>VLOOKUP(MID(B33,2,LEN(B33)),'Điểm thực hành các buổi'!$B$3:$D$41,3,0)</f>
        <v>0.5</v>
      </c>
      <c r="E33" s="11">
        <f>VLOOKUP(MID(B33,2,LEN(B33)),'Điểm thực hành các buổi'!$B$3:$E$41,4,0)</f>
        <v>0.4</v>
      </c>
      <c r="F33" s="11">
        <f>VLOOKUP(MID(B33,2,LEN(B33)),'Điểm thực hành các buổi'!$B$3:$F$41,5,0)</f>
        <v>0.45</v>
      </c>
      <c r="G33" s="11">
        <f>VLOOKUP(MID(B33,2,LEN(B33)),'Điểm bài tập lớn'!$B$3:$D$41,3,0)</f>
        <v>1.5</v>
      </c>
      <c r="H33" s="11">
        <f>VLOOKUP(MID(B33,2,LEN(B33)),'Điểm lý thuyết'!$B$3:$D$41,3,0)</f>
        <v>8.8</v>
      </c>
      <c r="I33" s="11">
        <f t="shared" si="1"/>
        <v>8.1</v>
      </c>
      <c r="J33" s="12">
        <f>IF(OR(G33=0,VALUE(LEFT(B33,1))&gt;2),0,ROUND(I33+VLOOKUP(VALUE(LEFT(B33,1)),'Các bảng tham chiếu &amp; Thống kê'!$E$3:$F$5,2,0),1))</f>
        <v>9.1</v>
      </c>
      <c r="K33" s="11" t="str">
        <f>LOOKUP(J33,'Các bảng tham chiếu &amp; Thống kê'!$A$3:$A$10,'Các bảng tham chiếu &amp; Thống kê'!$B$3:$B$10)</f>
        <v>A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9">
        <v>28.0</v>
      </c>
      <c r="B34" s="10" t="s">
        <v>48</v>
      </c>
      <c r="C34" s="10" t="str">
        <f>VLOOKUP(MID(B34,2,LEN(B34)),'Điểm thực hành các buổi'!$B$3:$C$41,2,0)</f>
        <v>Nguyễn Trà Mi</v>
      </c>
      <c r="D34" s="11">
        <f>VLOOKUP(MID(B34,2,LEN(B34)),'Điểm thực hành các buổi'!$B$3:$D$41,3,0)</f>
        <v>0.5</v>
      </c>
      <c r="E34" s="11">
        <f>VLOOKUP(MID(B34,2,LEN(B34)),'Điểm thực hành các buổi'!$B$3:$E$41,4,0)</f>
        <v>0.45</v>
      </c>
      <c r="F34" s="11">
        <f>VLOOKUP(MID(B34,2,LEN(B34)),'Điểm thực hành các buổi'!$B$3:$F$41,5,0)</f>
        <v>0.45</v>
      </c>
      <c r="G34" s="11">
        <f>VLOOKUP(MID(B34,2,LEN(B34)),'Điểm bài tập lớn'!$B$3:$D$41,3,0)</f>
        <v>1</v>
      </c>
      <c r="H34" s="11">
        <f>VLOOKUP(MID(B34,2,LEN(B34)),'Điểm lý thuyết'!$B$3:$D$41,3,0)</f>
        <v>7.8</v>
      </c>
      <c r="I34" s="11">
        <f t="shared" si="1"/>
        <v>7.1</v>
      </c>
      <c r="J34" s="12">
        <f>IF(OR(G34=0,VALUE(LEFT(B34,1))&gt;2),0,ROUND(I34+VLOOKUP(VALUE(LEFT(B34,1)),'Các bảng tham chiếu &amp; Thống kê'!$E$3:$F$5,2,0),1))</f>
        <v>8.1</v>
      </c>
      <c r="K34" s="11" t="str">
        <f>LOOKUP(J34,'Các bảng tham chiếu &amp; Thống kê'!$A$3:$A$10,'Các bảng tham chiếu &amp; Thống kê'!$B$3:$B$10)</f>
        <v>B+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9">
        <v>29.0</v>
      </c>
      <c r="B35" s="10" t="s">
        <v>49</v>
      </c>
      <c r="C35" s="10" t="str">
        <f>VLOOKUP(MID(B35,2,LEN(B35)),'Điểm thực hành các buổi'!$B$3:$C$41,2,0)</f>
        <v>Lại Ngọc Hoàng Phi</v>
      </c>
      <c r="D35" s="11">
        <f>VLOOKUP(MID(B35,2,LEN(B35)),'Điểm thực hành các buổi'!$B$3:$D$41,3,0)</f>
        <v>0.5</v>
      </c>
      <c r="E35" s="11">
        <f>VLOOKUP(MID(B35,2,LEN(B35)),'Điểm thực hành các buổi'!$B$3:$E$41,4,0)</f>
        <v>0.5</v>
      </c>
      <c r="F35" s="11">
        <f>VLOOKUP(MID(B35,2,LEN(B35)),'Điểm thực hành các buổi'!$B$3:$F$41,5,0)</f>
        <v>0.5</v>
      </c>
      <c r="G35" s="11">
        <f>VLOOKUP(MID(B35,2,LEN(B35)),'Điểm bài tập lớn'!$B$3:$D$41,3,0)</f>
        <v>0</v>
      </c>
      <c r="H35" s="11">
        <f>VLOOKUP(MID(B35,2,LEN(B35)),'Điểm lý thuyết'!$B$3:$D$41,3,0)</f>
        <v>7.7</v>
      </c>
      <c r="I35" s="11">
        <f t="shared" si="1"/>
        <v>6.1</v>
      </c>
      <c r="J35" s="12">
        <f>IF(OR(G35=0,VALUE(LEFT(B35,1))&gt;2),0,ROUND(I35+VLOOKUP(VALUE(LEFT(B35,1)),'Các bảng tham chiếu &amp; Thống kê'!$E$3:$F$5,2,0),1))</f>
        <v>0</v>
      </c>
      <c r="K35" s="11" t="str">
        <f>LOOKUP(J35,'Các bảng tham chiếu &amp; Thống kê'!$A$3:$A$10,'Các bảng tham chiếu &amp; Thống kê'!$B$3:$B$10)</f>
        <v>F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9">
        <v>30.0</v>
      </c>
      <c r="B36" s="10" t="s">
        <v>50</v>
      </c>
      <c r="C36" s="10" t="str">
        <f>VLOOKUP(MID(B36,2,LEN(B36)),'Điểm thực hành các buổi'!$B$3:$C$41,2,0)</f>
        <v>Nguyễn Khắc Minh Phúc</v>
      </c>
      <c r="D36" s="11">
        <f>VLOOKUP(MID(B36,2,LEN(B36)),'Điểm thực hành các buổi'!$B$3:$D$41,3,0)</f>
        <v>0.5</v>
      </c>
      <c r="E36" s="11">
        <f>VLOOKUP(MID(B36,2,LEN(B36)),'Điểm thực hành các buổi'!$B$3:$E$41,4,0)</f>
        <v>0.4</v>
      </c>
      <c r="F36" s="11">
        <f>VLOOKUP(MID(B36,2,LEN(B36)),'Điểm thực hành các buổi'!$B$3:$F$41,5,0)</f>
        <v>0.45</v>
      </c>
      <c r="G36" s="11">
        <f>VLOOKUP(MID(B36,2,LEN(B36)),'Điểm bài tập lớn'!$B$3:$D$41,3,0)</f>
        <v>1</v>
      </c>
      <c r="H36" s="11">
        <f>VLOOKUP(MID(B36,2,LEN(B36)),'Điểm lý thuyết'!$B$3:$D$41,3,0)</f>
        <v>-3</v>
      </c>
      <c r="I36" s="11">
        <f t="shared" si="1"/>
        <v>0</v>
      </c>
      <c r="J36" s="12">
        <f>IF(OR(G36=0,VALUE(LEFT(B36,1))&gt;2),0,ROUND(I36+VLOOKUP(VALUE(LEFT(B36,1)),'Các bảng tham chiếu &amp; Thống kê'!$E$3:$F$5,2,0),1))</f>
        <v>0</v>
      </c>
      <c r="K36" s="11" t="str">
        <f>LOOKUP(J36,'Các bảng tham chiếu &amp; Thống kê'!$A$3:$A$10,'Các bảng tham chiếu &amp; Thống kê'!$B$3:$B$10)</f>
        <v>F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9">
        <v>31.0</v>
      </c>
      <c r="B37" s="10" t="s">
        <v>51</v>
      </c>
      <c r="C37" s="10" t="str">
        <f>VLOOKUP(MID(B37,2,LEN(B37)),'Điểm thực hành các buổi'!$B$3:$C$41,2,0)</f>
        <v>Trần Thị Hoàng Quyên</v>
      </c>
      <c r="D37" s="11">
        <f>VLOOKUP(MID(B37,2,LEN(B37)),'Điểm thực hành các buổi'!$B$3:$D$41,3,0)</f>
        <v>0.4</v>
      </c>
      <c r="E37" s="11">
        <f>VLOOKUP(MID(B37,2,LEN(B37)),'Điểm thực hành các buổi'!$B$3:$E$41,4,0)</f>
        <v>0.5</v>
      </c>
      <c r="F37" s="11">
        <f>VLOOKUP(MID(B37,2,LEN(B37)),'Điểm thực hành các buổi'!$B$3:$F$41,5,0)</f>
        <v>0.5</v>
      </c>
      <c r="G37" s="11">
        <f>VLOOKUP(MID(B37,2,LEN(B37)),'Điểm bài tập lớn'!$B$3:$D$41,3,0)</f>
        <v>1</v>
      </c>
      <c r="H37" s="11">
        <f>VLOOKUP(MID(B37,2,LEN(B37)),'Điểm lý thuyết'!$B$3:$D$41,3,0)</f>
        <v>9.2</v>
      </c>
      <c r="I37" s="11">
        <f t="shared" si="1"/>
        <v>7.9</v>
      </c>
      <c r="J37" s="12">
        <f>IF(OR(G37=0,VALUE(LEFT(B37,1))&gt;2),0,ROUND(I37+VLOOKUP(VALUE(LEFT(B37,1)),'Các bảng tham chiếu &amp; Thống kê'!$E$3:$F$5,2,0),1))</f>
        <v>8.9</v>
      </c>
      <c r="K37" s="11" t="str">
        <f>LOOKUP(J37,'Các bảng tham chiếu &amp; Thống kê'!$A$3:$A$10,'Các bảng tham chiếu &amp; Thống kê'!$B$3:$B$10)</f>
        <v>B+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9">
        <v>32.0</v>
      </c>
      <c r="B38" s="10" t="s">
        <v>52</v>
      </c>
      <c r="C38" s="10" t="str">
        <f>VLOOKUP(MID(B38,2,LEN(B38)),'Điểm thực hành các buổi'!$B$3:$C$41,2,0)</f>
        <v>Trương Quốc Thái</v>
      </c>
      <c r="D38" s="11">
        <f>VLOOKUP(MID(B38,2,LEN(B38)),'Điểm thực hành các buổi'!$B$3:$D$41,3,0)</f>
        <v>0.4</v>
      </c>
      <c r="E38" s="11">
        <f>VLOOKUP(MID(B38,2,LEN(B38)),'Điểm thực hành các buổi'!$B$3:$E$41,4,0)</f>
        <v>0.4</v>
      </c>
      <c r="F38" s="11">
        <f>VLOOKUP(MID(B38,2,LEN(B38)),'Điểm thực hành các buổi'!$B$3:$F$41,5,0)</f>
        <v>0.45</v>
      </c>
      <c r="G38" s="11">
        <f>VLOOKUP(MID(B38,2,LEN(B38)),'Điểm bài tập lớn'!$B$3:$D$41,3,0)</f>
        <v>1</v>
      </c>
      <c r="H38" s="11">
        <f>VLOOKUP(MID(B38,2,LEN(B38)),'Điểm lý thuyết'!$B$3:$D$41,3,0)</f>
        <v>7.5</v>
      </c>
      <c r="I38" s="11">
        <f t="shared" si="1"/>
        <v>6.8</v>
      </c>
      <c r="J38" s="12">
        <f>IF(OR(G38=0,VALUE(LEFT(B38,1))&gt;2),0,ROUND(I38+VLOOKUP(VALUE(LEFT(B38,1)),'Các bảng tham chiếu &amp; Thống kê'!$E$3:$F$5,2,0),1))</f>
        <v>7.8</v>
      </c>
      <c r="K38" s="11" t="str">
        <f>LOOKUP(J38,'Các bảng tham chiếu &amp; Thống kê'!$A$3:$A$10,'Các bảng tham chiếu &amp; Thống kê'!$B$3:$B$10)</f>
        <v>B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9">
        <v>33.0</v>
      </c>
      <c r="B39" s="10" t="s">
        <v>53</v>
      </c>
      <c r="C39" s="10" t="str">
        <f>VLOOKUP(MID(B39,2,LEN(B39)),'Điểm thực hành các buổi'!$B$3:$C$41,2,0)</f>
        <v>Nguyễn Thị Phương Thảo</v>
      </c>
      <c r="D39" s="11">
        <f>VLOOKUP(MID(B39,2,LEN(B39)),'Điểm thực hành các buổi'!$B$3:$D$41,3,0)</f>
        <v>0.4</v>
      </c>
      <c r="E39" s="11">
        <f>VLOOKUP(MID(B39,2,LEN(B39)),'Điểm thực hành các buổi'!$B$3:$E$41,4,0)</f>
        <v>0.45</v>
      </c>
      <c r="F39" s="11">
        <f>VLOOKUP(MID(B39,2,LEN(B39)),'Điểm thực hành các buổi'!$B$3:$F$41,5,0)</f>
        <v>0.45</v>
      </c>
      <c r="G39" s="11">
        <f>VLOOKUP(MID(B39,2,LEN(B39)),'Điểm bài tập lớn'!$B$3:$D$41,3,0)</f>
        <v>1</v>
      </c>
      <c r="H39" s="11">
        <f>VLOOKUP(MID(B39,2,LEN(B39)),'Điểm lý thuyết'!$B$3:$D$41,3,0)</f>
        <v>-3</v>
      </c>
      <c r="I39" s="11">
        <f t="shared" si="1"/>
        <v>0</v>
      </c>
      <c r="J39" s="12">
        <f>IF(OR(G39=0,VALUE(LEFT(B39,1))&gt;2),0,ROUND(I39+VLOOKUP(VALUE(LEFT(B39,1)),'Các bảng tham chiếu &amp; Thống kê'!$E$3:$F$5,2,0),1))</f>
        <v>0</v>
      </c>
      <c r="K39" s="11" t="str">
        <f>LOOKUP(J39,'Các bảng tham chiếu &amp; Thống kê'!$A$3:$A$10,'Các bảng tham chiếu &amp; Thống kê'!$B$3:$B$10)</f>
        <v>F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9">
        <v>34.0</v>
      </c>
      <c r="B40" s="10" t="s">
        <v>54</v>
      </c>
      <c r="C40" s="10" t="str">
        <f>VLOOKUP(MID(B40,2,LEN(B40)),'Điểm thực hành các buổi'!$B$3:$C$41,2,0)</f>
        <v>Nguyễn Chí Tôn</v>
      </c>
      <c r="D40" s="11">
        <f>VLOOKUP(MID(B40,2,LEN(B40)),'Điểm thực hành các buổi'!$B$3:$D$41,3,0)</f>
        <v>0.4</v>
      </c>
      <c r="E40" s="11">
        <f>VLOOKUP(MID(B40,2,LEN(B40)),'Điểm thực hành các buổi'!$B$3:$E$41,4,0)</f>
        <v>0</v>
      </c>
      <c r="F40" s="11">
        <f>VLOOKUP(MID(B40,2,LEN(B40)),'Điểm thực hành các buổi'!$B$3:$F$41,5,0)</f>
        <v>0.45</v>
      </c>
      <c r="G40" s="11">
        <f>VLOOKUP(MID(B40,2,LEN(B40)),'Điểm bài tập lớn'!$B$3:$D$41,3,0)</f>
        <v>0.75</v>
      </c>
      <c r="H40" s="11">
        <f>VLOOKUP(MID(B40,2,LEN(B40)),'Điểm lý thuyết'!$B$3:$D$41,3,0)</f>
        <v>8.3</v>
      </c>
      <c r="I40" s="11">
        <f t="shared" si="1"/>
        <v>6.6</v>
      </c>
      <c r="J40" s="12">
        <f>IF(OR(G40=0,VALUE(LEFT(B40,1))&gt;2),0,ROUND(I40+VLOOKUP(VALUE(LEFT(B40,1)),'Các bảng tham chiếu &amp; Thống kê'!$E$3:$F$5,2,0),1))</f>
        <v>7.1</v>
      </c>
      <c r="K40" s="11" t="str">
        <f>LOOKUP(J40,'Các bảng tham chiếu &amp; Thống kê'!$A$3:$A$10,'Các bảng tham chiếu &amp; Thống kê'!$B$3:$B$10)</f>
        <v>B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9">
        <v>35.0</v>
      </c>
      <c r="B41" s="10" t="s">
        <v>55</v>
      </c>
      <c r="C41" s="10" t="str">
        <f>VLOOKUP(MID(B41,2,LEN(B41)),'Điểm thực hành các buổi'!$B$3:$C$41,2,0)</f>
        <v>Trịnh Uyên</v>
      </c>
      <c r="D41" s="11">
        <f>VLOOKUP(MID(B41,2,LEN(B41)),'Điểm thực hành các buổi'!$B$3:$D$41,3,0)</f>
        <v>0.5</v>
      </c>
      <c r="E41" s="11">
        <f>VLOOKUP(MID(B41,2,LEN(B41)),'Điểm thực hành các buổi'!$B$3:$E$41,4,0)</f>
        <v>0</v>
      </c>
      <c r="F41" s="11">
        <f>VLOOKUP(MID(B41,2,LEN(B41)),'Điểm thực hành các buổi'!$B$3:$F$41,5,0)</f>
        <v>0</v>
      </c>
      <c r="G41" s="11">
        <f>VLOOKUP(MID(B41,2,LEN(B41)),'Điểm bài tập lớn'!$B$3:$D$41,3,0)</f>
        <v>0</v>
      </c>
      <c r="H41" s="11">
        <f>VLOOKUP(MID(B41,2,LEN(B41)),'Điểm lý thuyết'!$B$3:$D$41,3,0)</f>
        <v>7.5</v>
      </c>
      <c r="I41" s="11">
        <f t="shared" si="1"/>
        <v>5</v>
      </c>
      <c r="J41" s="12">
        <f>IF(OR(G41=0,VALUE(LEFT(B41,1))&gt;2),0,ROUND(I41+VLOOKUP(VALUE(LEFT(B41,1)),'Các bảng tham chiếu &amp; Thống kê'!$E$3:$F$5,2,0),1))</f>
        <v>0</v>
      </c>
      <c r="K41" s="11" t="str">
        <f>LOOKUP(J41,'Các bảng tham chiếu &amp; Thống kê'!$A$3:$A$10,'Các bảng tham chiếu &amp; Thống kê'!$B$3:$B$10)</f>
        <v>F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9">
        <v>36.0</v>
      </c>
      <c r="B42" s="10" t="s">
        <v>56</v>
      </c>
      <c r="C42" s="10" t="str">
        <f>VLOOKUP(MID(B42,2,LEN(B42)),'Điểm thực hành các buổi'!$B$3:$C$41,2,0)</f>
        <v>Nguyễn Anh Thư</v>
      </c>
      <c r="D42" s="11">
        <f>VLOOKUP(MID(B42,2,LEN(B42)),'Điểm thực hành các buổi'!$B$3:$D$41,3,0)</f>
        <v>0.5</v>
      </c>
      <c r="E42" s="11">
        <f>VLOOKUP(MID(B42,2,LEN(B42)),'Điểm thực hành các buổi'!$B$3:$E$41,4,0)</f>
        <v>0.35</v>
      </c>
      <c r="F42" s="11">
        <f>VLOOKUP(MID(B42,2,LEN(B42)),'Điểm thực hành các buổi'!$B$3:$F$41,5,0)</f>
        <v>0.45</v>
      </c>
      <c r="G42" s="11">
        <f>VLOOKUP(MID(B42,2,LEN(B42)),'Điểm bài tập lớn'!$B$3:$D$41,3,0)</f>
        <v>0.5</v>
      </c>
      <c r="H42" s="11">
        <f>VLOOKUP(MID(B42,2,LEN(B42)),'Điểm lý thuyết'!$B$3:$D$41,3,0)</f>
        <v>5.5</v>
      </c>
      <c r="I42" s="11">
        <f t="shared" si="1"/>
        <v>5.1</v>
      </c>
      <c r="J42" s="12">
        <f>IF(OR(G42=0,VALUE(LEFT(B42,1))&gt;2),0,ROUND(I42+VLOOKUP(VALUE(LEFT(B42,1)),'Các bảng tham chiếu &amp; Thống kê'!$E$3:$F$5,2,0),1))</f>
        <v>5.6</v>
      </c>
      <c r="K42" s="11" t="str">
        <f>LOOKUP(J42,'Các bảng tham chiếu &amp; Thống kê'!$A$3:$A$10,'Các bảng tham chiếu &amp; Thống kê'!$B$3:$B$10)</f>
        <v>C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9">
        <v>37.0</v>
      </c>
      <c r="B43" s="10" t="s">
        <v>57</v>
      </c>
      <c r="C43" s="10" t="str">
        <f>VLOOKUP(MID(B43,2,LEN(B43)),'Điểm thực hành các buổi'!$B$3:$C$41,2,0)</f>
        <v>Huỳnh Lê Tỷ</v>
      </c>
      <c r="D43" s="11">
        <f>VLOOKUP(MID(B43,2,LEN(B43)),'Điểm thực hành các buổi'!$B$3:$D$41,3,0)</f>
        <v>0.5</v>
      </c>
      <c r="E43" s="11">
        <f>VLOOKUP(MID(B43,2,LEN(B43)),'Điểm thực hành các buổi'!$B$3:$E$41,4,0)</f>
        <v>0.4</v>
      </c>
      <c r="F43" s="11">
        <f>VLOOKUP(MID(B43,2,LEN(B43)),'Điểm thực hành các buổi'!$B$3:$F$41,5,0)</f>
        <v>0.4</v>
      </c>
      <c r="G43" s="11">
        <f>VLOOKUP(MID(B43,2,LEN(B43)),'Điểm bài tập lớn'!$B$3:$D$41,3,0)</f>
        <v>0.3</v>
      </c>
      <c r="H43" s="11">
        <f>VLOOKUP(MID(B43,2,LEN(B43)),'Điểm lý thuyết'!$B$3:$D$41,3,0)</f>
        <v>6.7</v>
      </c>
      <c r="I43" s="11">
        <f t="shared" si="1"/>
        <v>5.6</v>
      </c>
      <c r="J43" s="12">
        <f>IF(OR(G43=0,VALUE(LEFT(B43,1))&gt;2),0,ROUND(I43+VLOOKUP(VALUE(LEFT(B43,1)),'Các bảng tham chiếu &amp; Thống kê'!$E$3:$F$5,2,0),1))</f>
        <v>6.6</v>
      </c>
      <c r="K43" s="11" t="str">
        <f>LOOKUP(J43,'Các bảng tham chiếu &amp; Thống kê'!$A$3:$A$10,'Các bảng tham chiếu &amp; Thống kê'!$B$3:$B$10)</f>
        <v>C+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9">
        <v>38.0</v>
      </c>
      <c r="B44" s="10" t="s">
        <v>58</v>
      </c>
      <c r="C44" s="10" t="str">
        <f>VLOOKUP(MID(B44,2,LEN(B44)),'Điểm thực hành các buổi'!$B$3:$C$41,2,0)</f>
        <v>Nguyễn Ngọc Luyến</v>
      </c>
      <c r="D44" s="11">
        <f>VLOOKUP(MID(B44,2,LEN(B44)),'Điểm thực hành các buổi'!$B$3:$D$41,3,0)</f>
        <v>0.3</v>
      </c>
      <c r="E44" s="11">
        <f>VLOOKUP(MID(B44,2,LEN(B44)),'Điểm thực hành các buổi'!$B$3:$E$41,4,0)</f>
        <v>0.4</v>
      </c>
      <c r="F44" s="11">
        <f>VLOOKUP(MID(B44,2,LEN(B44)),'Điểm thực hành các buổi'!$B$3:$F$41,5,0)</f>
        <v>0.45</v>
      </c>
      <c r="G44" s="11">
        <f>VLOOKUP(MID(B44,2,LEN(B44)),'Điểm bài tập lớn'!$B$3:$D$41,3,0)</f>
        <v>1</v>
      </c>
      <c r="H44" s="11">
        <f>VLOOKUP(MID(B44,2,LEN(B44)),'Điểm lý thuyết'!$B$3:$D$41,3,0)</f>
        <v>5.5</v>
      </c>
      <c r="I44" s="11">
        <f t="shared" si="1"/>
        <v>5.5</v>
      </c>
      <c r="J44" s="12">
        <f>IF(OR(G44=0,VALUE(LEFT(B44,1))&gt;2),0,ROUND(I44+VLOOKUP(VALUE(LEFT(B44,1)),'Các bảng tham chiếu &amp; Thống kê'!$E$3:$F$5,2,0),1))</f>
        <v>6.5</v>
      </c>
      <c r="K44" s="11" t="str">
        <f>LOOKUP(J44,'Các bảng tham chiếu &amp; Thống kê'!$A$3:$A$10,'Các bảng tham chiếu &amp; Thống kê'!$B$3:$B$10)</f>
        <v>C+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9">
        <v>39.0</v>
      </c>
      <c r="B45" s="10" t="s">
        <v>59</v>
      </c>
      <c r="C45" s="10" t="str">
        <f>VLOOKUP(MID(B45,2,LEN(B45)),'Điểm thực hành các buổi'!$B$3:$C$41,2,0)</f>
        <v>Võ Thị Thùy Trang</v>
      </c>
      <c r="D45" s="11">
        <f>VLOOKUP(MID(B45,2,LEN(B45)),'Điểm thực hành các buổi'!$B$3:$D$41,3,0)</f>
        <v>0.4</v>
      </c>
      <c r="E45" s="11">
        <f>VLOOKUP(MID(B45,2,LEN(B45)),'Điểm thực hành các buổi'!$B$3:$E$41,4,0)</f>
        <v>0.4</v>
      </c>
      <c r="F45" s="11">
        <f>VLOOKUP(MID(B45,2,LEN(B45)),'Điểm thực hành các buổi'!$B$3:$F$41,5,0)</f>
        <v>0.4</v>
      </c>
      <c r="G45" s="11">
        <f>VLOOKUP(MID(B45,2,LEN(B45)),'Điểm bài tập lớn'!$B$3:$D$41,3,0)</f>
        <v>0.75</v>
      </c>
      <c r="H45" s="11">
        <f>VLOOKUP(MID(B45,2,LEN(B45)),'Điểm lý thuyết'!$B$3:$D$41,3,0)</f>
        <v>3.2</v>
      </c>
      <c r="I45" s="11">
        <f t="shared" si="1"/>
        <v>3.9</v>
      </c>
      <c r="J45" s="12">
        <f>IF(OR(G45=0,VALUE(LEFT(B45,1))&gt;2),0,ROUND(I45+VLOOKUP(VALUE(LEFT(B45,1)),'Các bảng tham chiếu &amp; Thống kê'!$E$3:$F$5,2,0),1))</f>
        <v>4.4</v>
      </c>
      <c r="K45" s="11" t="str">
        <f>LOOKUP(J45,'Các bảng tham chiếu &amp; Thống kê'!$A$3:$A$10,'Các bảng tham chiếu &amp; Thống kê'!$B$3:$B$10)</f>
        <v>D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K$45"/>
  <mergeCells count="7">
    <mergeCell ref="B1:H1"/>
    <mergeCell ref="D2:E2"/>
    <mergeCell ref="F2:H2"/>
    <mergeCell ref="D3:E3"/>
    <mergeCell ref="F3:H3"/>
    <mergeCell ref="D4:E4"/>
    <mergeCell ref="F4:H4"/>
  </mergeCells>
  <conditionalFormatting sqref="J7:K45">
    <cfRule type="cellIs" dxfId="0" priority="1" operator="lessThan">
      <formula>4</formula>
    </cfRule>
  </conditionalFormatting>
  <printOptions horizont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</row>
    <row r="2">
      <c r="A2" s="9">
        <v>1.0</v>
      </c>
      <c r="B2" s="10" t="s">
        <v>21</v>
      </c>
      <c r="C2" s="10" t="str">
        <f>VLOOKUP(MID(B2,2,LEN(B2)),'Điểm thực hành các buổi'!$B$3:$C$41,2,0)</f>
        <v>Nguyễn Phước Hiếu</v>
      </c>
      <c r="D2" s="11">
        <f>VLOOKUP(MID(B2,2,LEN(B2)),'Điểm thực hành các buổi'!$B$3:$D$41,3,0)</f>
        <v>0.45</v>
      </c>
      <c r="E2" s="11">
        <f>VLOOKUP(MID(B2,2,LEN(B2)),'Điểm thực hành các buổi'!$B$3:$E$41,4,0)</f>
        <v>0.25</v>
      </c>
      <c r="F2" s="11">
        <f>VLOOKUP(MID(B2,2,LEN(B2)),'Điểm thực hành các buổi'!$B$3:$F$41,5,0)</f>
        <v>0.3</v>
      </c>
      <c r="G2" s="11">
        <f>VLOOKUP(MID(B2,2,LEN(B2)),'Điểm bài tập lớn'!$B$3:$D$41,3,0)</f>
        <v>0.5</v>
      </c>
      <c r="H2" s="11">
        <f>VLOOKUP(MID(B2,2,LEN(B2)),'Điểm lý thuyết'!$B$3:$D$41,3,0)</f>
        <v>4.2</v>
      </c>
      <c r="I2" s="11">
        <f t="shared" ref="I2:I27" si="1">IF(H2=-3,0,D2+E2+F2+G2+0.6*H2)</f>
        <v>4.02</v>
      </c>
      <c r="J2" s="12">
        <f>IF(OR(G2=0,VALUE(LEFT(B2,1))&gt;2),0,ROUND(I2+VLOOKUP(VALUE(LEFT(B2,1)),'Các bảng tham chiếu &amp; Thống kê'!$E$3:$F$5,2,0),1))</f>
        <v>5</v>
      </c>
      <c r="K2" s="11" t="str">
        <f>LOOKUP(J2,'Các bảng tham chiếu &amp; Thống kê'!$A$3:$A$10,'Các bảng tham chiếu &amp; Thống kê'!$B$3:$B$10)</f>
        <v>D+</v>
      </c>
    </row>
    <row r="3">
      <c r="A3" s="9">
        <v>2.0</v>
      </c>
      <c r="B3" s="10" t="s">
        <v>22</v>
      </c>
      <c r="C3" s="10" t="str">
        <f>VLOOKUP(MID(B3,2,LEN(B3)),'Điểm thực hành các buổi'!$B$3:$C$41,2,0)</f>
        <v>Lý Minh Trí</v>
      </c>
      <c r="D3" s="11">
        <f>VLOOKUP(MID(B3,2,LEN(B3)),'Điểm thực hành các buổi'!$B$3:$D$41,3,0)</f>
        <v>0.5</v>
      </c>
      <c r="E3" s="11">
        <f>VLOOKUP(MID(B3,2,LEN(B3)),'Điểm thực hành các buổi'!$B$3:$E$41,4,0)</f>
        <v>0.35</v>
      </c>
      <c r="F3" s="11">
        <f>VLOOKUP(MID(B3,2,LEN(B3)),'Điểm thực hành các buổi'!$B$3:$F$41,5,0)</f>
        <v>0.4</v>
      </c>
      <c r="G3" s="11">
        <f>VLOOKUP(MID(B3,2,LEN(B3)),'Điểm bài tập lớn'!$B$3:$D$41,3,0)</f>
        <v>1</v>
      </c>
      <c r="H3" s="11">
        <f>VLOOKUP(MID(B3,2,LEN(B3)),'Điểm lý thuyết'!$B$3:$D$41,3,0)</f>
        <v>5.8</v>
      </c>
      <c r="I3" s="11">
        <f t="shared" si="1"/>
        <v>5.73</v>
      </c>
      <c r="J3" s="12">
        <f>IF(OR(G3=0,VALUE(LEFT(B3,1))&gt;2),0,ROUND(I3+VLOOKUP(VALUE(LEFT(B3,1)),'Các bảng tham chiếu &amp; Thống kê'!$E$3:$F$5,2,0),1))</f>
        <v>6.2</v>
      </c>
      <c r="K3" s="11" t="str">
        <f>LOOKUP(J3,'Các bảng tham chiếu &amp; Thống kê'!$A$3:$A$10,'Các bảng tham chiếu &amp; Thống kê'!$B$3:$B$10)</f>
        <v>C</v>
      </c>
    </row>
    <row r="4">
      <c r="A4" s="9">
        <v>3.0</v>
      </c>
      <c r="B4" s="10" t="s">
        <v>23</v>
      </c>
      <c r="C4" s="10" t="str">
        <f>VLOOKUP(MID(B4,2,LEN(B4)),'Điểm thực hành các buổi'!$B$3:$C$41,2,0)</f>
        <v>Nguyễn Kiều Mi</v>
      </c>
      <c r="D4" s="11">
        <f>VLOOKUP(MID(B4,2,LEN(B4)),'Điểm thực hành các buổi'!$B$3:$D$41,3,0)</f>
        <v>0.25</v>
      </c>
      <c r="E4" s="11">
        <f>VLOOKUP(MID(B4,2,LEN(B4)),'Điểm thực hành các buổi'!$B$3:$E$41,4,0)</f>
        <v>0.25</v>
      </c>
      <c r="F4" s="11">
        <f>VLOOKUP(MID(B4,2,LEN(B4)),'Điểm thực hành các buổi'!$B$3:$F$41,5,0)</f>
        <v>0.3</v>
      </c>
      <c r="G4" s="11">
        <f>VLOOKUP(MID(B4,2,LEN(B4)),'Điểm bài tập lớn'!$B$3:$D$41,3,0)</f>
        <v>0.5</v>
      </c>
      <c r="H4" s="11">
        <f>VLOOKUP(MID(B4,2,LEN(B4)),'Điểm lý thuyết'!$B$3:$D$41,3,0)</f>
        <v>5.8</v>
      </c>
      <c r="I4" s="11">
        <f t="shared" si="1"/>
        <v>4.78</v>
      </c>
      <c r="J4" s="12">
        <f>IF(OR(G4=0,VALUE(LEFT(B4,1))&gt;2),0,ROUND(I4+VLOOKUP(VALUE(LEFT(B4,1)),'Các bảng tham chiếu &amp; Thống kê'!$E$3:$F$5,2,0),1))</f>
        <v>5.8</v>
      </c>
      <c r="K4" s="11" t="str">
        <f>LOOKUP(J4,'Các bảng tham chiếu &amp; Thống kê'!$A$3:$A$10,'Các bảng tham chiếu &amp; Thống kê'!$B$3:$B$10)</f>
        <v>C</v>
      </c>
    </row>
    <row r="5">
      <c r="A5" s="9">
        <v>4.0</v>
      </c>
      <c r="B5" s="10" t="s">
        <v>24</v>
      </c>
      <c r="C5" s="10" t="str">
        <f>VLOOKUP(MID(B5,2,LEN(B5)),'Điểm thực hành các buổi'!$B$3:$C$41,2,0)</f>
        <v>Đặng Duy Linh</v>
      </c>
      <c r="D5" s="11">
        <f>VLOOKUP(MID(B5,2,LEN(B5)),'Điểm thực hành các buổi'!$B$3:$D$41,3,0)</f>
        <v>0.4</v>
      </c>
      <c r="E5" s="11">
        <f>VLOOKUP(MID(B5,2,LEN(B5)),'Điểm thực hành các buổi'!$B$3:$E$41,4,0)</f>
        <v>0.25</v>
      </c>
      <c r="F5" s="11">
        <f>VLOOKUP(MID(B5,2,LEN(B5)),'Điểm thực hành các buổi'!$B$3:$F$41,5,0)</f>
        <v>0.35</v>
      </c>
      <c r="G5" s="11">
        <f>VLOOKUP(MID(B5,2,LEN(B5)),'Điểm bài tập lớn'!$B$3:$D$41,3,0)</f>
        <v>1</v>
      </c>
      <c r="H5" s="11">
        <f>VLOOKUP(MID(B5,2,LEN(B5)),'Điểm lý thuyết'!$B$3:$D$41,3,0)</f>
        <v>4.5</v>
      </c>
      <c r="I5" s="11">
        <f t="shared" si="1"/>
        <v>4.7</v>
      </c>
      <c r="J5" s="12">
        <f>IF(OR(G5=0,VALUE(LEFT(B5,1))&gt;2),0,ROUND(I5+VLOOKUP(VALUE(LEFT(B5,1)),'Các bảng tham chiếu &amp; Thống kê'!$E$3:$F$5,2,0),1))</f>
        <v>5.7</v>
      </c>
      <c r="K5" s="11" t="str">
        <f>LOOKUP(J5,'Các bảng tham chiếu &amp; Thống kê'!$A$3:$A$10,'Các bảng tham chiếu &amp; Thống kê'!$B$3:$B$10)</f>
        <v>C</v>
      </c>
    </row>
    <row r="6">
      <c r="A6" s="9">
        <v>5.0</v>
      </c>
      <c r="B6" s="10" t="s">
        <v>25</v>
      </c>
      <c r="C6" s="10" t="str">
        <f>VLOOKUP(MID(B6,2,LEN(B6)),'Điểm thực hành các buổi'!$B$3:$C$41,2,0)</f>
        <v>Lê Thị Trúc Linh</v>
      </c>
      <c r="D6" s="11">
        <f>VLOOKUP(MID(B6,2,LEN(B6)),'Điểm thực hành các buổi'!$B$3:$D$41,3,0)</f>
        <v>0.45</v>
      </c>
      <c r="E6" s="11">
        <f>VLOOKUP(MID(B6,2,LEN(B6)),'Điểm thực hành các buổi'!$B$3:$E$41,4,0)</f>
        <v>0.4</v>
      </c>
      <c r="F6" s="11">
        <f>VLOOKUP(MID(B6,2,LEN(B6)),'Điểm thực hành các buổi'!$B$3:$F$41,5,0)</f>
        <v>0.35</v>
      </c>
      <c r="G6" s="11">
        <f>VLOOKUP(MID(B6,2,LEN(B6)),'Điểm bài tập lớn'!$B$3:$D$41,3,0)</f>
        <v>0.75</v>
      </c>
      <c r="H6" s="11">
        <f>VLOOKUP(MID(B6,2,LEN(B6)),'Điểm lý thuyết'!$B$3:$D$41,3,0)</f>
        <v>5.5</v>
      </c>
      <c r="I6" s="11">
        <f t="shared" si="1"/>
        <v>5.25</v>
      </c>
      <c r="J6" s="12">
        <f>IF(OR(G6=0,VALUE(LEFT(B6,1))&gt;2),0,ROUND(I6+VLOOKUP(VALUE(LEFT(B6,1)),'Các bảng tham chiếu &amp; Thống kê'!$E$3:$F$5,2,0),1))</f>
        <v>5.5</v>
      </c>
      <c r="K6" s="11" t="str">
        <f>LOOKUP(J6,'Các bảng tham chiếu &amp; Thống kê'!$A$3:$A$10,'Các bảng tham chiếu &amp; Thống kê'!$B$3:$B$10)</f>
        <v>C</v>
      </c>
    </row>
    <row r="7">
      <c r="A7" s="9">
        <v>7.0</v>
      </c>
      <c r="B7" s="10" t="s">
        <v>27</v>
      </c>
      <c r="C7" s="10" t="str">
        <f>VLOOKUP(MID(B7,2,LEN(B7)),'Điểm thực hành các buổi'!$B$3:$C$41,2,0)</f>
        <v>Lê Minh Thông</v>
      </c>
      <c r="D7" s="11">
        <f>VLOOKUP(MID(B7,2,LEN(B7)),'Điểm thực hành các buổi'!$B$3:$D$41,3,0)</f>
        <v>0.4</v>
      </c>
      <c r="E7" s="11">
        <f>VLOOKUP(MID(B7,2,LEN(B7)),'Điểm thực hành các buổi'!$B$3:$E$41,4,0)</f>
        <v>0.4</v>
      </c>
      <c r="F7" s="11">
        <f>VLOOKUP(MID(B7,2,LEN(B7)),'Điểm thực hành các buổi'!$B$3:$F$41,5,0)</f>
        <v>0.4</v>
      </c>
      <c r="G7" s="11">
        <f>VLOOKUP(MID(B7,2,LEN(B7)),'Điểm bài tập lớn'!$B$3:$D$41,3,0)</f>
        <v>1</v>
      </c>
      <c r="H7" s="11">
        <f>VLOOKUP(MID(B7,2,LEN(B7)),'Điểm lý thuyết'!$B$3:$D$41,3,0)</f>
        <v>5.3</v>
      </c>
      <c r="I7" s="11">
        <f t="shared" si="1"/>
        <v>5.38</v>
      </c>
      <c r="J7" s="12">
        <f>IF(OR(G7=0,VALUE(LEFT(B7,1))&gt;2),0,ROUND(I7+VLOOKUP(VALUE(LEFT(B7,1)),'Các bảng tham chiếu &amp; Thống kê'!$E$3:$F$5,2,0),1))</f>
        <v>6.4</v>
      </c>
      <c r="K7" s="11" t="str">
        <f>LOOKUP(J7,'Các bảng tham chiếu &amp; Thống kê'!$A$3:$A$10,'Các bảng tham chiếu &amp; Thống kê'!$B$3:$B$10)</f>
        <v>C</v>
      </c>
    </row>
    <row r="8">
      <c r="A8" s="9">
        <v>9.0</v>
      </c>
      <c r="B8" s="10" t="s">
        <v>29</v>
      </c>
      <c r="C8" s="10" t="str">
        <f>VLOOKUP(MID(B8,2,LEN(B8)),'Điểm thực hành các buổi'!$B$3:$C$41,2,0)</f>
        <v>Trần Thị Kim Khoa</v>
      </c>
      <c r="D8" s="11">
        <f>VLOOKUP(MID(B8,2,LEN(B8)),'Điểm thực hành các buổi'!$B$3:$D$41,3,0)</f>
        <v>0.5</v>
      </c>
      <c r="E8" s="11">
        <f>VLOOKUP(MID(B8,2,LEN(B8)),'Điểm thực hành các buổi'!$B$3:$E$41,4,0)</f>
        <v>0.4</v>
      </c>
      <c r="F8" s="11">
        <f>VLOOKUP(MID(B8,2,LEN(B8)),'Điểm thực hành các buổi'!$B$3:$F$41,5,0)</f>
        <v>0.4</v>
      </c>
      <c r="G8" s="11">
        <f>VLOOKUP(MID(B8,2,LEN(B8)),'Điểm bài tập lớn'!$B$3:$D$41,3,0)</f>
        <v>1</v>
      </c>
      <c r="H8" s="11">
        <f>VLOOKUP(MID(B8,2,LEN(B8)),'Điểm lý thuyết'!$B$3:$D$41,3,0)</f>
        <v>-3</v>
      </c>
      <c r="I8" s="11">
        <f t="shared" si="1"/>
        <v>0</v>
      </c>
      <c r="J8" s="12">
        <f>IF(OR(G8=0,VALUE(LEFT(B8,1))&gt;2),0,ROUND(I8+VLOOKUP(VALUE(LEFT(B8,1)),'Các bảng tham chiếu &amp; Thống kê'!$E$3:$F$5,2,0),1))</f>
        <v>0</v>
      </c>
      <c r="K8" s="11" t="str">
        <f>LOOKUP(J8,'Các bảng tham chiếu &amp; Thống kê'!$A$3:$A$10,'Các bảng tham chiếu &amp; Thống kê'!$B$3:$B$10)</f>
        <v>F</v>
      </c>
    </row>
    <row r="9">
      <c r="A9" s="9">
        <v>10.0</v>
      </c>
      <c r="B9" s="10" t="s">
        <v>30</v>
      </c>
      <c r="C9" s="10" t="str">
        <f>VLOOKUP(MID(B9,2,LEN(B9)),'Điểm thực hành các buổi'!$B$3:$C$41,2,0)</f>
        <v>Huỳnh Thị Hồng Loan</v>
      </c>
      <c r="D9" s="11">
        <f>VLOOKUP(MID(B9,2,LEN(B9)),'Điểm thực hành các buổi'!$B$3:$D$41,3,0)</f>
        <v>0.45</v>
      </c>
      <c r="E9" s="11">
        <f>VLOOKUP(MID(B9,2,LEN(B9)),'Điểm thực hành các buổi'!$B$3:$E$41,4,0)</f>
        <v>0.4</v>
      </c>
      <c r="F9" s="11">
        <f>VLOOKUP(MID(B9,2,LEN(B9)),'Điểm thực hành các buổi'!$B$3:$F$41,5,0)</f>
        <v>0.45</v>
      </c>
      <c r="G9" s="11">
        <f>VLOOKUP(MID(B9,2,LEN(B9)),'Điểm bài tập lớn'!$B$3:$D$41,3,0)</f>
        <v>0</v>
      </c>
      <c r="H9" s="11">
        <f>VLOOKUP(MID(B9,2,LEN(B9)),'Điểm lý thuyết'!$B$3:$D$41,3,0)</f>
        <v>6.8</v>
      </c>
      <c r="I9" s="11">
        <f t="shared" si="1"/>
        <v>5.38</v>
      </c>
      <c r="J9" s="12">
        <f>IF(OR(G9=0,VALUE(LEFT(B9,1))&gt;2),0,ROUND(I9+VLOOKUP(VALUE(LEFT(B9,1)),'Các bảng tham chiếu &amp; Thống kê'!$E$3:$F$5,2,0),1))</f>
        <v>0</v>
      </c>
      <c r="K9" s="11" t="str">
        <f>LOOKUP(J9,'Các bảng tham chiếu &amp; Thống kê'!$A$3:$A$10,'Các bảng tham chiếu &amp; Thống kê'!$B$3:$B$10)</f>
        <v>F</v>
      </c>
    </row>
    <row r="10">
      <c r="A10" s="9">
        <v>11.0</v>
      </c>
      <c r="B10" s="10" t="s">
        <v>31</v>
      </c>
      <c r="C10" s="10" t="str">
        <f>VLOOKUP(MID(B10,2,LEN(B10)),'Điểm thực hành các buổi'!$B$3:$C$41,2,0)</f>
        <v>Trần Thị Thanh Nguyên</v>
      </c>
      <c r="D10" s="11">
        <f>VLOOKUP(MID(B10,2,LEN(B10)),'Điểm thực hành các buổi'!$B$3:$D$41,3,0)</f>
        <v>0.45</v>
      </c>
      <c r="E10" s="11">
        <f>VLOOKUP(MID(B10,2,LEN(B10)),'Điểm thực hành các buổi'!$B$3:$E$41,4,0)</f>
        <v>0.4</v>
      </c>
      <c r="F10" s="11">
        <f>VLOOKUP(MID(B10,2,LEN(B10)),'Điểm thực hành các buổi'!$B$3:$F$41,5,0)</f>
        <v>0.4</v>
      </c>
      <c r="G10" s="11">
        <f>VLOOKUP(MID(B10,2,LEN(B10)),'Điểm bài tập lớn'!$B$3:$D$41,3,0)</f>
        <v>0.75</v>
      </c>
      <c r="H10" s="11">
        <f>VLOOKUP(MID(B10,2,LEN(B10)),'Điểm lý thuyết'!$B$3:$D$41,3,0)</f>
        <v>6.3</v>
      </c>
      <c r="I10" s="11">
        <f t="shared" si="1"/>
        <v>5.78</v>
      </c>
      <c r="J10" s="12">
        <f>IF(OR(G10=0,VALUE(LEFT(B10,1))&gt;2),0,ROUND(I10+VLOOKUP(VALUE(LEFT(B10,1)),'Các bảng tham chiếu &amp; Thống kê'!$E$3:$F$5,2,0),1))</f>
        <v>6.8</v>
      </c>
      <c r="K10" s="11" t="str">
        <f>LOOKUP(J10,'Các bảng tham chiếu &amp; Thống kê'!$A$3:$A$10,'Các bảng tham chiếu &amp; Thống kê'!$B$3:$B$10)</f>
        <v>C+</v>
      </c>
    </row>
    <row r="11">
      <c r="A11" s="9">
        <v>13.0</v>
      </c>
      <c r="B11" s="10" t="s">
        <v>33</v>
      </c>
      <c r="C11" s="10" t="str">
        <f>VLOOKUP(MID(B11,2,LEN(B11)),'Điểm thực hành các buổi'!$B$3:$C$41,2,0)</f>
        <v>Vũ Mạnh Thắng</v>
      </c>
      <c r="D11" s="11">
        <f>VLOOKUP(MID(B11,2,LEN(B11)),'Điểm thực hành các buổi'!$B$3:$D$41,3,0)</f>
        <v>0.4</v>
      </c>
      <c r="E11" s="11">
        <f>VLOOKUP(MID(B11,2,LEN(B11)),'Điểm thực hành các buổi'!$B$3:$E$41,4,0)</f>
        <v>0.5</v>
      </c>
      <c r="F11" s="11">
        <f>VLOOKUP(MID(B11,2,LEN(B11)),'Điểm thực hành các buổi'!$B$3:$F$41,5,0)</f>
        <v>0.5</v>
      </c>
      <c r="G11" s="11">
        <f>VLOOKUP(MID(B11,2,LEN(B11)),'Điểm bài tập lớn'!$B$3:$D$41,3,0)</f>
        <v>1.2</v>
      </c>
      <c r="H11" s="11">
        <f>VLOOKUP(MID(B11,2,LEN(B11)),'Điểm lý thuyết'!$B$3:$D$41,3,0)</f>
        <v>5.5</v>
      </c>
      <c r="I11" s="11">
        <f t="shared" si="1"/>
        <v>5.9</v>
      </c>
      <c r="J11" s="12">
        <f>IF(OR(G11=0,VALUE(LEFT(B11,1))&gt;2),0,ROUND(I11+VLOOKUP(VALUE(LEFT(B11,1)),'Các bảng tham chiếu &amp; Thống kê'!$E$3:$F$5,2,0),1))</f>
        <v>6.9</v>
      </c>
      <c r="K11" s="11" t="str">
        <f>LOOKUP(J11,'Các bảng tham chiếu &amp; Thống kê'!$A$3:$A$10,'Các bảng tham chiếu &amp; Thống kê'!$B$3:$B$10)</f>
        <v>C+</v>
      </c>
    </row>
    <row r="12">
      <c r="A12" s="9">
        <v>14.0</v>
      </c>
      <c r="B12" s="10" t="s">
        <v>34</v>
      </c>
      <c r="C12" s="10" t="str">
        <f>VLOOKUP(MID(B12,2,LEN(B12)),'Điểm thực hành các buổi'!$B$3:$C$41,2,0)</f>
        <v>Cao Ngọc Quyên</v>
      </c>
      <c r="D12" s="11">
        <f>VLOOKUP(MID(B12,2,LEN(B12)),'Điểm thực hành các buổi'!$B$3:$D$41,3,0)</f>
        <v>0.5</v>
      </c>
      <c r="E12" s="11">
        <f>VLOOKUP(MID(B12,2,LEN(B12)),'Điểm thực hành các buổi'!$B$3:$E$41,4,0)</f>
        <v>0.5</v>
      </c>
      <c r="F12" s="11">
        <f>VLOOKUP(MID(B12,2,LEN(B12)),'Điểm thực hành các buổi'!$B$3:$F$41,5,0)</f>
        <v>0.45</v>
      </c>
      <c r="G12" s="11">
        <f>VLOOKUP(MID(B12,2,LEN(B12)),'Điểm bài tập lớn'!$B$3:$D$41,3,0)</f>
        <v>0.3</v>
      </c>
      <c r="H12" s="11">
        <f>VLOOKUP(MID(B12,2,LEN(B12)),'Điểm lý thuyết'!$B$3:$D$41,3,0)</f>
        <v>6</v>
      </c>
      <c r="I12" s="11">
        <f t="shared" si="1"/>
        <v>5.35</v>
      </c>
      <c r="J12" s="12">
        <f>IF(OR(G12=0,VALUE(LEFT(B12,1))&gt;2),0,ROUND(I12+VLOOKUP(VALUE(LEFT(B12,1)),'Các bảng tham chiếu &amp; Thống kê'!$E$3:$F$5,2,0),1))</f>
        <v>6.4</v>
      </c>
      <c r="K12" s="11" t="str">
        <f>LOOKUP(J12,'Các bảng tham chiếu &amp; Thống kê'!$A$3:$A$10,'Các bảng tham chiếu &amp; Thống kê'!$B$3:$B$10)</f>
        <v>C</v>
      </c>
    </row>
    <row r="13">
      <c r="A13" s="9">
        <v>15.0</v>
      </c>
      <c r="B13" s="10" t="s">
        <v>35</v>
      </c>
      <c r="C13" s="10" t="str">
        <f>VLOOKUP(MID(B13,2,LEN(B13)),'Điểm thực hành các buổi'!$B$3:$C$41,2,0)</f>
        <v>Nguyễn Chí Thanh</v>
      </c>
      <c r="D13" s="11">
        <f>VLOOKUP(MID(B13,2,LEN(B13)),'Điểm thực hành các buổi'!$B$3:$D$41,3,0)</f>
        <v>0.4</v>
      </c>
      <c r="E13" s="11">
        <f>VLOOKUP(MID(B13,2,LEN(B13)),'Điểm thực hành các buổi'!$B$3:$E$41,4,0)</f>
        <v>0.45</v>
      </c>
      <c r="F13" s="11">
        <f>VLOOKUP(MID(B13,2,LEN(B13)),'Điểm thực hành các buổi'!$B$3:$F$41,5,0)</f>
        <v>0.4</v>
      </c>
      <c r="G13" s="11">
        <f>VLOOKUP(MID(B13,2,LEN(B13)),'Điểm bài tập lớn'!$B$3:$D$41,3,0)</f>
        <v>0.3</v>
      </c>
      <c r="H13" s="11">
        <f>VLOOKUP(MID(B13,2,LEN(B13)),'Điểm lý thuyết'!$B$3:$D$41,3,0)</f>
        <v>-3</v>
      </c>
      <c r="I13" s="11">
        <f t="shared" si="1"/>
        <v>0</v>
      </c>
      <c r="J13" s="12">
        <f>IF(OR(G13=0,VALUE(LEFT(B13,1))&gt;2),0,ROUND(I13+VLOOKUP(VALUE(LEFT(B13,1)),'Các bảng tham chiếu &amp; Thống kê'!$E$3:$F$5,2,0),1))</f>
        <v>0</v>
      </c>
      <c r="K13" s="11" t="str">
        <f>LOOKUP(J13,'Các bảng tham chiếu &amp; Thống kê'!$A$3:$A$10,'Các bảng tham chiếu &amp; Thống kê'!$B$3:$B$10)</f>
        <v>F</v>
      </c>
    </row>
    <row r="14">
      <c r="A14" s="9">
        <v>16.0</v>
      </c>
      <c r="B14" s="10" t="s">
        <v>36</v>
      </c>
      <c r="C14" s="10" t="str">
        <f>VLOOKUP(MID(B14,2,LEN(B14)),'Điểm thực hành các buổi'!$B$3:$C$41,2,0)</f>
        <v>Nguyễn Bích Ngân</v>
      </c>
      <c r="D14" s="11">
        <f>VLOOKUP(MID(B14,2,LEN(B14)),'Điểm thực hành các buổi'!$B$3:$D$41,3,0)</f>
        <v>0.4</v>
      </c>
      <c r="E14" s="11">
        <f>VLOOKUP(MID(B14,2,LEN(B14)),'Điểm thực hành các buổi'!$B$3:$E$41,4,0)</f>
        <v>0.45</v>
      </c>
      <c r="F14" s="11">
        <f>VLOOKUP(MID(B14,2,LEN(B14)),'Điểm thực hành các buổi'!$B$3:$F$41,5,0)</f>
        <v>0.45</v>
      </c>
      <c r="G14" s="11">
        <f>VLOOKUP(MID(B14,2,LEN(B14)),'Điểm bài tập lớn'!$B$3:$D$41,3,0)</f>
        <v>1</v>
      </c>
      <c r="H14" s="11">
        <f>VLOOKUP(MID(B14,2,LEN(B14)),'Điểm lý thuyết'!$B$3:$D$41,3,0)</f>
        <v>5.7</v>
      </c>
      <c r="I14" s="11">
        <f t="shared" si="1"/>
        <v>5.72</v>
      </c>
      <c r="J14" s="12">
        <f>IF(OR(G14=0,VALUE(LEFT(B14,1))&gt;2),0,ROUND(I14+VLOOKUP(VALUE(LEFT(B14,1)),'Các bảng tham chiếu &amp; Thống kê'!$E$3:$F$5,2,0),1))</f>
        <v>6.7</v>
      </c>
      <c r="K14" s="11" t="str">
        <f>LOOKUP(J14,'Các bảng tham chiếu &amp; Thống kê'!$A$3:$A$10,'Các bảng tham chiếu &amp; Thống kê'!$B$3:$B$10)</f>
        <v>C+</v>
      </c>
    </row>
    <row r="15">
      <c r="A15" s="9">
        <v>18.0</v>
      </c>
      <c r="B15" s="10" t="s">
        <v>38</v>
      </c>
      <c r="C15" s="10" t="str">
        <f>VLOOKUP(MID(B15,2,LEN(B15)),'Điểm thực hành các buổi'!$B$3:$C$41,2,0)</f>
        <v>Nguyễn Hoàng Châu</v>
      </c>
      <c r="D15" s="11">
        <f>VLOOKUP(MID(B15,2,LEN(B15)),'Điểm thực hành các buổi'!$B$3:$D$41,3,0)</f>
        <v>0.4</v>
      </c>
      <c r="E15" s="11">
        <f>VLOOKUP(MID(B15,2,LEN(B15)),'Điểm thực hành các buổi'!$B$3:$E$41,4,0)</f>
        <v>0.4</v>
      </c>
      <c r="F15" s="11">
        <f>VLOOKUP(MID(B15,2,LEN(B15)),'Điểm thực hành các buổi'!$B$3:$F$41,5,0)</f>
        <v>0.4</v>
      </c>
      <c r="G15" s="11">
        <f>VLOOKUP(MID(B15,2,LEN(B15)),'Điểm bài tập lớn'!$B$3:$D$41,3,0)</f>
        <v>0.3</v>
      </c>
      <c r="H15" s="11">
        <f>VLOOKUP(MID(B15,2,LEN(B15)),'Điểm lý thuyết'!$B$3:$D$41,3,0)</f>
        <v>6.5</v>
      </c>
      <c r="I15" s="11">
        <f t="shared" si="1"/>
        <v>5.4</v>
      </c>
      <c r="J15" s="12">
        <f>IF(OR(G15=0,VALUE(LEFT(B15,1))&gt;2),0,ROUND(I15+VLOOKUP(VALUE(LEFT(B15,1)),'Các bảng tham chiếu &amp; Thống kê'!$E$3:$F$5,2,0),1))</f>
        <v>6.4</v>
      </c>
      <c r="K15" s="11" t="str">
        <f>LOOKUP(J15,'Các bảng tham chiếu &amp; Thống kê'!$A$3:$A$10,'Các bảng tham chiếu &amp; Thống kê'!$B$3:$B$10)</f>
        <v>C</v>
      </c>
    </row>
    <row r="16">
      <c r="A16" s="9">
        <v>19.0</v>
      </c>
      <c r="B16" s="10" t="s">
        <v>39</v>
      </c>
      <c r="C16" s="10" t="str">
        <f>VLOOKUP(MID(B16,2,LEN(B16)),'Điểm thực hành các buổi'!$B$3:$C$41,2,0)</f>
        <v>Trần Nam Dương</v>
      </c>
      <c r="D16" s="11">
        <f>VLOOKUP(MID(B16,2,LEN(B16)),'Điểm thực hành các buổi'!$B$3:$D$41,3,0)</f>
        <v>0.4</v>
      </c>
      <c r="E16" s="11">
        <f>VLOOKUP(MID(B16,2,LEN(B16)),'Điểm thực hành các buổi'!$B$3:$E$41,4,0)</f>
        <v>0.4</v>
      </c>
      <c r="F16" s="11">
        <f>VLOOKUP(MID(B16,2,LEN(B16)),'Điểm thực hành các buổi'!$B$3:$F$41,5,0)</f>
        <v>0.35</v>
      </c>
      <c r="G16" s="11">
        <f>VLOOKUP(MID(B16,2,LEN(B16)),'Điểm bài tập lớn'!$B$3:$D$41,3,0)</f>
        <v>1.35</v>
      </c>
      <c r="H16" s="11">
        <f>VLOOKUP(MID(B16,2,LEN(B16)),'Điểm lý thuyết'!$B$3:$D$41,3,0)</f>
        <v>-3</v>
      </c>
      <c r="I16" s="11">
        <f t="shared" si="1"/>
        <v>0</v>
      </c>
      <c r="J16" s="12">
        <f>IF(OR(G16=0,VALUE(LEFT(B16,1))&gt;2),0,ROUND(I16+VLOOKUP(VALUE(LEFT(B16,1)),'Các bảng tham chiếu &amp; Thống kê'!$E$3:$F$5,2,0),1))</f>
        <v>0</v>
      </c>
      <c r="K16" s="11" t="str">
        <f>LOOKUP(J16,'Các bảng tham chiếu &amp; Thống kê'!$A$3:$A$10,'Các bảng tham chiếu &amp; Thống kê'!$B$3:$B$10)</f>
        <v>F</v>
      </c>
    </row>
    <row r="17">
      <c r="A17" s="9">
        <v>20.0</v>
      </c>
      <c r="B17" s="10" t="s">
        <v>40</v>
      </c>
      <c r="C17" s="10" t="str">
        <f>VLOOKUP(MID(B17,2,LEN(B17)),'Điểm thực hành các buổi'!$B$3:$C$41,2,0)</f>
        <v>Đào Nguyễn Duy Khanh</v>
      </c>
      <c r="D17" s="11">
        <f>VLOOKUP(MID(B17,2,LEN(B17)),'Điểm thực hành các buổi'!$B$3:$D$41,3,0)</f>
        <v>0.35</v>
      </c>
      <c r="E17" s="11">
        <f>VLOOKUP(MID(B17,2,LEN(B17)),'Điểm thực hành các buổi'!$B$3:$E$41,4,0)</f>
        <v>0.4</v>
      </c>
      <c r="F17" s="11">
        <f>VLOOKUP(MID(B17,2,LEN(B17)),'Điểm thực hành các buổi'!$B$3:$F$41,5,0)</f>
        <v>0</v>
      </c>
      <c r="G17" s="11">
        <f>VLOOKUP(MID(B17,2,LEN(B17)),'Điểm bài tập lớn'!$B$3:$D$41,3,0)</f>
        <v>0.85</v>
      </c>
      <c r="H17" s="11">
        <f>VLOOKUP(MID(B17,2,LEN(B17)),'Điểm lý thuyết'!$B$3:$D$41,3,0)</f>
        <v>6.5</v>
      </c>
      <c r="I17" s="11">
        <f t="shared" si="1"/>
        <v>5.5</v>
      </c>
      <c r="J17" s="12">
        <f>IF(OR(G17=0,VALUE(LEFT(B17,1))&gt;2),0,ROUND(I17+VLOOKUP(VALUE(LEFT(B17,1)),'Các bảng tham chiếu &amp; Thống kê'!$E$3:$F$5,2,0),1))</f>
        <v>6.5</v>
      </c>
      <c r="K17" s="11" t="str">
        <f>LOOKUP(J17,'Các bảng tham chiếu &amp; Thống kê'!$A$3:$A$10,'Các bảng tham chiếu &amp; Thống kê'!$B$3:$B$10)</f>
        <v>C+</v>
      </c>
    </row>
    <row r="18">
      <c r="A18" s="9">
        <v>22.0</v>
      </c>
      <c r="B18" s="10" t="s">
        <v>42</v>
      </c>
      <c r="C18" s="10" t="str">
        <f>VLOOKUP(MID(B18,2,LEN(B18)),'Điểm thực hành các buổi'!$B$3:$C$41,2,0)</f>
        <v>Lê Thanh Tùng</v>
      </c>
      <c r="D18" s="11">
        <f>VLOOKUP(MID(B18,2,LEN(B18)),'Điểm thực hành các buổi'!$B$3:$D$41,3,0)</f>
        <v>0.4</v>
      </c>
      <c r="E18" s="11">
        <f>VLOOKUP(MID(B18,2,LEN(B18)),'Điểm thực hành các buổi'!$B$3:$E$41,4,0)</f>
        <v>0.4</v>
      </c>
      <c r="F18" s="11">
        <f>VLOOKUP(MID(B18,2,LEN(B18)),'Điểm thực hành các buổi'!$B$3:$F$41,5,0)</f>
        <v>0.4</v>
      </c>
      <c r="G18" s="11">
        <f>VLOOKUP(MID(B18,2,LEN(B18)),'Điểm bài tập lớn'!$B$3:$D$41,3,0)</f>
        <v>0</v>
      </c>
      <c r="H18" s="11">
        <f>VLOOKUP(MID(B18,2,LEN(B18)),'Điểm lý thuyết'!$B$3:$D$41,3,0)</f>
        <v>4.5</v>
      </c>
      <c r="I18" s="11">
        <f t="shared" si="1"/>
        <v>3.9</v>
      </c>
      <c r="J18" s="12">
        <f>IF(OR(G18=0,VALUE(LEFT(B18,1))&gt;2),0,ROUND(I18+VLOOKUP(VALUE(LEFT(B18,1)),'Các bảng tham chiếu &amp; Thống kê'!$E$3:$F$5,2,0),1))</f>
        <v>0</v>
      </c>
      <c r="K18" s="11" t="str">
        <f>LOOKUP(J18,'Các bảng tham chiếu &amp; Thống kê'!$A$3:$A$10,'Các bảng tham chiếu &amp; Thống kê'!$B$3:$B$10)</f>
        <v>F</v>
      </c>
    </row>
    <row r="19">
      <c r="A19" s="9">
        <v>25.0</v>
      </c>
      <c r="B19" s="10" t="s">
        <v>45</v>
      </c>
      <c r="C19" s="10" t="str">
        <f>VLOOKUP(MID(B19,2,LEN(B19)),'Điểm thực hành các buổi'!$B$3:$C$41,2,0)</f>
        <v>Hồ Thị Mỷ Huyền</v>
      </c>
      <c r="D19" s="11">
        <f>VLOOKUP(MID(B19,2,LEN(B19)),'Điểm thực hành các buổi'!$B$3:$D$41,3,0)</f>
        <v>0.3</v>
      </c>
      <c r="E19" s="11">
        <f>VLOOKUP(MID(B19,2,LEN(B19)),'Điểm thực hành các buổi'!$B$3:$E$41,4,0)</f>
        <v>0.3</v>
      </c>
      <c r="F19" s="11">
        <f>VLOOKUP(MID(B19,2,LEN(B19)),'Điểm thực hành các buổi'!$B$3:$F$41,5,0)</f>
        <v>0.4</v>
      </c>
      <c r="G19" s="11">
        <f>VLOOKUP(MID(B19,2,LEN(B19)),'Điểm bài tập lớn'!$B$3:$D$41,3,0)</f>
        <v>0.75</v>
      </c>
      <c r="H19" s="11">
        <f>VLOOKUP(MID(B19,2,LEN(B19)),'Điểm lý thuyết'!$B$3:$D$41,3,0)</f>
        <v>6.8</v>
      </c>
      <c r="I19" s="11">
        <f t="shared" si="1"/>
        <v>5.83</v>
      </c>
      <c r="J19" s="12">
        <f>IF(OR(G19=0,VALUE(LEFT(B19,1))&gt;2),0,ROUND(I19+VLOOKUP(VALUE(LEFT(B19,1)),'Các bảng tham chiếu &amp; Thống kê'!$E$3:$F$5,2,0),1))</f>
        <v>6.3</v>
      </c>
      <c r="K19" s="11" t="str">
        <f>LOOKUP(J19,'Các bảng tham chiếu &amp; Thống kê'!$A$3:$A$10,'Các bảng tham chiếu &amp; Thống kê'!$B$3:$B$10)</f>
        <v>C</v>
      </c>
    </row>
    <row r="20">
      <c r="A20" s="9">
        <v>29.0</v>
      </c>
      <c r="B20" s="10" t="s">
        <v>49</v>
      </c>
      <c r="C20" s="10" t="str">
        <f>VLOOKUP(MID(B20,2,LEN(B20)),'Điểm thực hành các buổi'!$B$3:$C$41,2,0)</f>
        <v>Lại Ngọc Hoàng Phi</v>
      </c>
      <c r="D20" s="11">
        <f>VLOOKUP(MID(B20,2,LEN(B20)),'Điểm thực hành các buổi'!$B$3:$D$41,3,0)</f>
        <v>0.5</v>
      </c>
      <c r="E20" s="11">
        <f>VLOOKUP(MID(B20,2,LEN(B20)),'Điểm thực hành các buổi'!$B$3:$E$41,4,0)</f>
        <v>0.5</v>
      </c>
      <c r="F20" s="11">
        <f>VLOOKUP(MID(B20,2,LEN(B20)),'Điểm thực hành các buổi'!$B$3:$F$41,5,0)</f>
        <v>0.5</v>
      </c>
      <c r="G20" s="11">
        <f>VLOOKUP(MID(B20,2,LEN(B20)),'Điểm bài tập lớn'!$B$3:$D$41,3,0)</f>
        <v>0</v>
      </c>
      <c r="H20" s="11">
        <f>VLOOKUP(MID(B20,2,LEN(B20)),'Điểm lý thuyết'!$B$3:$D$41,3,0)</f>
        <v>7.7</v>
      </c>
      <c r="I20" s="11">
        <f t="shared" si="1"/>
        <v>6.12</v>
      </c>
      <c r="J20" s="12">
        <f>IF(OR(G20=0,VALUE(LEFT(B20,1))&gt;2),0,ROUND(I20+VLOOKUP(VALUE(LEFT(B20,1)),'Các bảng tham chiếu &amp; Thống kê'!$E$3:$F$5,2,0),1))</f>
        <v>0</v>
      </c>
      <c r="K20" s="11" t="str">
        <f>LOOKUP(J20,'Các bảng tham chiếu &amp; Thống kê'!$A$3:$A$10,'Các bảng tham chiếu &amp; Thống kê'!$B$3:$B$10)</f>
        <v>F</v>
      </c>
    </row>
    <row r="21" ht="15.75" customHeight="1">
      <c r="A21" s="9">
        <v>30.0</v>
      </c>
      <c r="B21" s="10" t="s">
        <v>50</v>
      </c>
      <c r="C21" s="10" t="str">
        <f>VLOOKUP(MID(B21,2,LEN(B21)),'Điểm thực hành các buổi'!$B$3:$C$41,2,0)</f>
        <v>Nguyễn Khắc Minh Phúc</v>
      </c>
      <c r="D21" s="11">
        <f>VLOOKUP(MID(B21,2,LEN(B21)),'Điểm thực hành các buổi'!$B$3:$D$41,3,0)</f>
        <v>0.5</v>
      </c>
      <c r="E21" s="11">
        <f>VLOOKUP(MID(B21,2,LEN(B21)),'Điểm thực hành các buổi'!$B$3:$E$41,4,0)</f>
        <v>0.4</v>
      </c>
      <c r="F21" s="11">
        <f>VLOOKUP(MID(B21,2,LEN(B21)),'Điểm thực hành các buổi'!$B$3:$F$41,5,0)</f>
        <v>0.45</v>
      </c>
      <c r="G21" s="11">
        <f>VLOOKUP(MID(B21,2,LEN(B21)),'Điểm bài tập lớn'!$B$3:$D$41,3,0)</f>
        <v>1</v>
      </c>
      <c r="H21" s="11">
        <f>VLOOKUP(MID(B21,2,LEN(B21)),'Điểm lý thuyết'!$B$3:$D$41,3,0)</f>
        <v>-3</v>
      </c>
      <c r="I21" s="11">
        <f t="shared" si="1"/>
        <v>0</v>
      </c>
      <c r="J21" s="12">
        <f>IF(OR(G21=0,VALUE(LEFT(B21,1))&gt;2),0,ROUND(I21+VLOOKUP(VALUE(LEFT(B21,1)),'Các bảng tham chiếu &amp; Thống kê'!$E$3:$F$5,2,0),1))</f>
        <v>0</v>
      </c>
      <c r="K21" s="11" t="str">
        <f>LOOKUP(J21,'Các bảng tham chiếu &amp; Thống kê'!$A$3:$A$10,'Các bảng tham chiếu &amp; Thống kê'!$B$3:$B$10)</f>
        <v>F</v>
      </c>
    </row>
    <row r="22" ht="15.75" customHeight="1">
      <c r="A22" s="9">
        <v>33.0</v>
      </c>
      <c r="B22" s="10" t="s">
        <v>53</v>
      </c>
      <c r="C22" s="10" t="str">
        <f>VLOOKUP(MID(B22,2,LEN(B22)),'Điểm thực hành các buổi'!$B$3:$C$41,2,0)</f>
        <v>Nguyễn Thị Phương Thảo</v>
      </c>
      <c r="D22" s="11">
        <f>VLOOKUP(MID(B22,2,LEN(B22)),'Điểm thực hành các buổi'!$B$3:$D$41,3,0)</f>
        <v>0.4</v>
      </c>
      <c r="E22" s="11">
        <f>VLOOKUP(MID(B22,2,LEN(B22)),'Điểm thực hành các buổi'!$B$3:$E$41,4,0)</f>
        <v>0.45</v>
      </c>
      <c r="F22" s="11">
        <f>VLOOKUP(MID(B22,2,LEN(B22)),'Điểm thực hành các buổi'!$B$3:$F$41,5,0)</f>
        <v>0.45</v>
      </c>
      <c r="G22" s="11">
        <f>VLOOKUP(MID(B22,2,LEN(B22)),'Điểm bài tập lớn'!$B$3:$D$41,3,0)</f>
        <v>1</v>
      </c>
      <c r="H22" s="11">
        <f>VLOOKUP(MID(B22,2,LEN(B22)),'Điểm lý thuyết'!$B$3:$D$41,3,0)</f>
        <v>-3</v>
      </c>
      <c r="I22" s="11">
        <f t="shared" si="1"/>
        <v>0</v>
      </c>
      <c r="J22" s="12">
        <f>IF(OR(G22=0,VALUE(LEFT(B22,1))&gt;2),0,ROUND(I22+VLOOKUP(VALUE(LEFT(B22,1)),'Các bảng tham chiếu &amp; Thống kê'!$E$3:$F$5,2,0),1))</f>
        <v>0</v>
      </c>
      <c r="K22" s="11" t="str">
        <f>LOOKUP(J22,'Các bảng tham chiếu &amp; Thống kê'!$A$3:$A$10,'Các bảng tham chiếu &amp; Thống kê'!$B$3:$B$10)</f>
        <v>F</v>
      </c>
    </row>
    <row r="23" ht="15.75" customHeight="1">
      <c r="A23" s="9">
        <v>35.0</v>
      </c>
      <c r="B23" s="10" t="s">
        <v>55</v>
      </c>
      <c r="C23" s="10" t="str">
        <f>VLOOKUP(MID(B23,2,LEN(B23)),'Điểm thực hành các buổi'!$B$3:$C$41,2,0)</f>
        <v>Trịnh Uyên</v>
      </c>
      <c r="D23" s="11">
        <f>VLOOKUP(MID(B23,2,LEN(B23)),'Điểm thực hành các buổi'!$B$3:$D$41,3,0)</f>
        <v>0.5</v>
      </c>
      <c r="E23" s="11">
        <f>VLOOKUP(MID(B23,2,LEN(B23)),'Điểm thực hành các buổi'!$B$3:$E$41,4,0)</f>
        <v>0</v>
      </c>
      <c r="F23" s="11">
        <f>VLOOKUP(MID(B23,2,LEN(B23)),'Điểm thực hành các buổi'!$B$3:$F$41,5,0)</f>
        <v>0</v>
      </c>
      <c r="G23" s="11">
        <f>VLOOKUP(MID(B23,2,LEN(B23)),'Điểm bài tập lớn'!$B$3:$D$41,3,0)</f>
        <v>0</v>
      </c>
      <c r="H23" s="11">
        <f>VLOOKUP(MID(B23,2,LEN(B23)),'Điểm lý thuyết'!$B$3:$D$41,3,0)</f>
        <v>7.5</v>
      </c>
      <c r="I23" s="11">
        <f t="shared" si="1"/>
        <v>5</v>
      </c>
      <c r="J23" s="12">
        <f>IF(OR(G23=0,VALUE(LEFT(B23,1))&gt;2),0,ROUND(I23+VLOOKUP(VALUE(LEFT(B23,1)),'Các bảng tham chiếu &amp; Thống kê'!$E$3:$F$5,2,0),1))</f>
        <v>0</v>
      </c>
      <c r="K23" s="11" t="str">
        <f>LOOKUP(J23,'Các bảng tham chiếu &amp; Thống kê'!$A$3:$A$10,'Các bảng tham chiếu &amp; Thống kê'!$B$3:$B$10)</f>
        <v>F</v>
      </c>
    </row>
    <row r="24" ht="15.75" customHeight="1">
      <c r="A24" s="9">
        <v>36.0</v>
      </c>
      <c r="B24" s="10" t="s">
        <v>56</v>
      </c>
      <c r="C24" s="10" t="str">
        <f>VLOOKUP(MID(B24,2,LEN(B24)),'Điểm thực hành các buổi'!$B$3:$C$41,2,0)</f>
        <v>Nguyễn Anh Thư</v>
      </c>
      <c r="D24" s="11">
        <f>VLOOKUP(MID(B24,2,LEN(B24)),'Điểm thực hành các buổi'!$B$3:$D$41,3,0)</f>
        <v>0.5</v>
      </c>
      <c r="E24" s="11">
        <f>VLOOKUP(MID(B24,2,LEN(B24)),'Điểm thực hành các buổi'!$B$3:$E$41,4,0)</f>
        <v>0.35</v>
      </c>
      <c r="F24" s="11">
        <f>VLOOKUP(MID(B24,2,LEN(B24)),'Điểm thực hành các buổi'!$B$3:$F$41,5,0)</f>
        <v>0.45</v>
      </c>
      <c r="G24" s="11">
        <f>VLOOKUP(MID(B24,2,LEN(B24)),'Điểm bài tập lớn'!$B$3:$D$41,3,0)</f>
        <v>0.5</v>
      </c>
      <c r="H24" s="11">
        <f>VLOOKUP(MID(B24,2,LEN(B24)),'Điểm lý thuyết'!$B$3:$D$41,3,0)</f>
        <v>5.5</v>
      </c>
      <c r="I24" s="11">
        <f t="shared" si="1"/>
        <v>5.1</v>
      </c>
      <c r="J24" s="12">
        <f>IF(OR(G24=0,VALUE(LEFT(B24,1))&gt;2),0,ROUND(I24+VLOOKUP(VALUE(LEFT(B24,1)),'Các bảng tham chiếu &amp; Thống kê'!$E$3:$F$5,2,0),1))</f>
        <v>5.6</v>
      </c>
      <c r="K24" s="11" t="str">
        <f>LOOKUP(J24,'Các bảng tham chiếu &amp; Thống kê'!$A$3:$A$10,'Các bảng tham chiếu &amp; Thống kê'!$B$3:$B$10)</f>
        <v>C</v>
      </c>
    </row>
    <row r="25" ht="15.75" customHeight="1">
      <c r="A25" s="9">
        <v>37.0</v>
      </c>
      <c r="B25" s="10" t="s">
        <v>57</v>
      </c>
      <c r="C25" s="10" t="str">
        <f>VLOOKUP(MID(B25,2,LEN(B25)),'Điểm thực hành các buổi'!$B$3:$C$41,2,0)</f>
        <v>Huỳnh Lê Tỷ</v>
      </c>
      <c r="D25" s="11">
        <f>VLOOKUP(MID(B25,2,LEN(B25)),'Điểm thực hành các buổi'!$B$3:$D$41,3,0)</f>
        <v>0.5</v>
      </c>
      <c r="E25" s="11">
        <f>VLOOKUP(MID(B25,2,LEN(B25)),'Điểm thực hành các buổi'!$B$3:$E$41,4,0)</f>
        <v>0.4</v>
      </c>
      <c r="F25" s="11">
        <f>VLOOKUP(MID(B25,2,LEN(B25)),'Điểm thực hành các buổi'!$B$3:$F$41,5,0)</f>
        <v>0.4</v>
      </c>
      <c r="G25" s="11">
        <f>VLOOKUP(MID(B25,2,LEN(B25)),'Điểm bài tập lớn'!$B$3:$D$41,3,0)</f>
        <v>0.3</v>
      </c>
      <c r="H25" s="11">
        <f>VLOOKUP(MID(B25,2,LEN(B25)),'Điểm lý thuyết'!$B$3:$D$41,3,0)</f>
        <v>6.7</v>
      </c>
      <c r="I25" s="11">
        <f t="shared" si="1"/>
        <v>5.62</v>
      </c>
      <c r="J25" s="12">
        <f>IF(OR(G25=0,VALUE(LEFT(B25,1))&gt;2),0,ROUND(I25+VLOOKUP(VALUE(LEFT(B25,1)),'Các bảng tham chiếu &amp; Thống kê'!$E$3:$F$5,2,0),1))</f>
        <v>6.6</v>
      </c>
      <c r="K25" s="11" t="str">
        <f>LOOKUP(J25,'Các bảng tham chiếu &amp; Thống kê'!$A$3:$A$10,'Các bảng tham chiếu &amp; Thống kê'!$B$3:$B$10)</f>
        <v>C+</v>
      </c>
    </row>
    <row r="26" ht="15.75" customHeight="1">
      <c r="A26" s="9">
        <v>38.0</v>
      </c>
      <c r="B26" s="10" t="s">
        <v>58</v>
      </c>
      <c r="C26" s="10" t="str">
        <f>VLOOKUP(MID(B26,2,LEN(B26)),'Điểm thực hành các buổi'!$B$3:$C$41,2,0)</f>
        <v>Nguyễn Ngọc Luyến</v>
      </c>
      <c r="D26" s="11">
        <f>VLOOKUP(MID(B26,2,LEN(B26)),'Điểm thực hành các buổi'!$B$3:$D$41,3,0)</f>
        <v>0.3</v>
      </c>
      <c r="E26" s="11">
        <f>VLOOKUP(MID(B26,2,LEN(B26)),'Điểm thực hành các buổi'!$B$3:$E$41,4,0)</f>
        <v>0.4</v>
      </c>
      <c r="F26" s="11">
        <f>VLOOKUP(MID(B26,2,LEN(B26)),'Điểm thực hành các buổi'!$B$3:$F$41,5,0)</f>
        <v>0.45</v>
      </c>
      <c r="G26" s="11">
        <f>VLOOKUP(MID(B26,2,LEN(B26)),'Điểm bài tập lớn'!$B$3:$D$41,3,0)</f>
        <v>1</v>
      </c>
      <c r="H26" s="11">
        <f>VLOOKUP(MID(B26,2,LEN(B26)),'Điểm lý thuyết'!$B$3:$D$41,3,0)</f>
        <v>5.5</v>
      </c>
      <c r="I26" s="11">
        <f t="shared" si="1"/>
        <v>5.45</v>
      </c>
      <c r="J26" s="12">
        <f>IF(OR(G26=0,VALUE(LEFT(B26,1))&gt;2),0,ROUND(I26+VLOOKUP(VALUE(LEFT(B26,1)),'Các bảng tham chiếu &amp; Thống kê'!$E$3:$F$5,2,0),1))</f>
        <v>6.5</v>
      </c>
      <c r="K26" s="11" t="str">
        <f>LOOKUP(J26,'Các bảng tham chiếu &amp; Thống kê'!$A$3:$A$10,'Các bảng tham chiếu &amp; Thống kê'!$B$3:$B$10)</f>
        <v>C+</v>
      </c>
    </row>
    <row r="27" ht="15.75" customHeight="1">
      <c r="A27" s="9">
        <v>39.0</v>
      </c>
      <c r="B27" s="10" t="s">
        <v>59</v>
      </c>
      <c r="C27" s="10" t="str">
        <f>VLOOKUP(MID(B27,2,LEN(B27)),'Điểm thực hành các buổi'!$B$3:$C$41,2,0)</f>
        <v>Võ Thị Thùy Trang</v>
      </c>
      <c r="D27" s="11">
        <f>VLOOKUP(MID(B27,2,LEN(B27)),'Điểm thực hành các buổi'!$B$3:$D$41,3,0)</f>
        <v>0.4</v>
      </c>
      <c r="E27" s="11">
        <f>VLOOKUP(MID(B27,2,LEN(B27)),'Điểm thực hành các buổi'!$B$3:$E$41,4,0)</f>
        <v>0.4</v>
      </c>
      <c r="F27" s="11">
        <f>VLOOKUP(MID(B27,2,LEN(B27)),'Điểm thực hành các buổi'!$B$3:$F$41,5,0)</f>
        <v>0.4</v>
      </c>
      <c r="G27" s="11">
        <f>VLOOKUP(MID(B27,2,LEN(B27)),'Điểm bài tập lớn'!$B$3:$D$41,3,0)</f>
        <v>0.75</v>
      </c>
      <c r="H27" s="11">
        <f>VLOOKUP(MID(B27,2,LEN(B27)),'Điểm lý thuyết'!$B$3:$D$41,3,0)</f>
        <v>3.2</v>
      </c>
      <c r="I27" s="11">
        <f t="shared" si="1"/>
        <v>3.87</v>
      </c>
      <c r="J27" s="12">
        <f>IF(OR(G27=0,VALUE(LEFT(B27,1))&gt;2),0,ROUND(I27+VLOOKUP(VALUE(LEFT(B27,1)),'Các bảng tham chiếu &amp; Thống kê'!$E$3:$F$5,2,0),1))</f>
        <v>4.4</v>
      </c>
      <c r="K27" s="11" t="str">
        <f>LOOKUP(J27,'Các bảng tham chiếu &amp; Thống kê'!$A$3:$A$10,'Các bảng tham chiếu &amp; Thống kê'!$B$3:$B$10)</f>
        <v>D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7:K7">
    <cfRule type="cellIs" dxfId="0" priority="1" operator="lessThan">
      <formula>4</formula>
    </cfRule>
  </conditionalFormatting>
  <conditionalFormatting sqref="J18:K18">
    <cfRule type="cellIs" dxfId="0" priority="2" operator="lessThan">
      <formula>4</formula>
    </cfRule>
  </conditionalFormatting>
  <conditionalFormatting sqref="J19:K19">
    <cfRule type="cellIs" dxfId="0" priority="3" operator="lessThan">
      <formula>4</formula>
    </cfRule>
  </conditionalFormatting>
  <conditionalFormatting sqref="J22:K22">
    <cfRule type="cellIs" dxfId="0" priority="4" operator="lessThan">
      <formula>4</formula>
    </cfRule>
  </conditionalFormatting>
  <conditionalFormatting sqref="J2:K6">
    <cfRule type="cellIs" dxfId="0" priority="5" operator="lessThan">
      <formula>4</formula>
    </cfRule>
  </conditionalFormatting>
  <conditionalFormatting sqref="J8:K10">
    <cfRule type="cellIs" dxfId="0" priority="6" operator="lessThan">
      <formula>4</formula>
    </cfRule>
  </conditionalFormatting>
  <conditionalFormatting sqref="J11:K14">
    <cfRule type="cellIs" dxfId="0" priority="7" operator="lessThan">
      <formula>4</formula>
    </cfRule>
  </conditionalFormatting>
  <conditionalFormatting sqref="J15:K17">
    <cfRule type="cellIs" dxfId="0" priority="8" operator="lessThan">
      <formula>4</formula>
    </cfRule>
  </conditionalFormatting>
  <conditionalFormatting sqref="J20:K21">
    <cfRule type="cellIs" dxfId="0" priority="9" operator="lessThan">
      <formula>4</formula>
    </cfRule>
  </conditionalFormatting>
  <conditionalFormatting sqref="J23:K27">
    <cfRule type="cellIs" dxfId="0" priority="10" operator="lessThan">
      <formula>4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  <c r="K1" s="8" t="s">
        <v>20</v>
      </c>
    </row>
    <row r="2">
      <c r="A2" s="9">
        <v>6.0</v>
      </c>
      <c r="B2" s="10" t="s">
        <v>26</v>
      </c>
      <c r="C2" s="10" t="str">
        <f>VLOOKUP(MID(B2,2,LEN(B2)),'Điểm thực hành các buổi'!$B$3:$C$41,2,0)</f>
        <v>Phạm Thị Huỳnh Như</v>
      </c>
      <c r="D2" s="11">
        <f>VLOOKUP(MID(B2,2,LEN(B2)),'Điểm thực hành các buổi'!$B$3:$D$41,3,0)</f>
        <v>0.4</v>
      </c>
      <c r="E2" s="11">
        <f>VLOOKUP(MID(B2,2,LEN(B2)),'Điểm thực hành các buổi'!$B$3:$E$41,4,0)</f>
        <v>0.45</v>
      </c>
      <c r="F2" s="11">
        <f>VLOOKUP(MID(B2,2,LEN(B2)),'Điểm thực hành các buổi'!$B$3:$F$41,5,0)</f>
        <v>0.5</v>
      </c>
      <c r="G2" s="11">
        <f>VLOOKUP(MID(B2,2,LEN(B2)),'Điểm bài tập lớn'!$B$3:$D$41,3,0)</f>
        <v>1.2</v>
      </c>
      <c r="H2" s="11">
        <f>VLOOKUP(MID(B2,2,LEN(B2)),'Điểm lý thuyết'!$B$3:$D$41,3,0)</f>
        <v>7.5</v>
      </c>
      <c r="I2" s="11">
        <f t="shared" ref="I2:I13" si="1">IF(H2=-3,0,D2+E2+F2+G2+0.6*H2)</f>
        <v>7.05</v>
      </c>
      <c r="J2" s="12">
        <f>IF(OR(G2=0,VALUE(LEFT(B2,1))&gt;2),0,ROUND(I2+VLOOKUP(VALUE(LEFT(B2,1)),'Các bảng tham chiếu &amp; Thống kê'!$E$3:$F$5,2,0),1))</f>
        <v>8.1</v>
      </c>
      <c r="K2" s="11" t="str">
        <f>LOOKUP(J2,'Các bảng tham chiếu &amp; Thống kê'!$A$3:$A$10,'Các bảng tham chiếu &amp; Thống kê'!$B$3:$B$10)</f>
        <v>B+</v>
      </c>
    </row>
    <row r="3">
      <c r="A3" s="9">
        <v>8.0</v>
      </c>
      <c r="B3" s="10" t="s">
        <v>28</v>
      </c>
      <c r="C3" s="10" t="str">
        <f>VLOOKUP(MID(B3,2,LEN(B3)),'Điểm thực hành các buổi'!$B$3:$C$41,2,0)</f>
        <v>Quách Thu Vân</v>
      </c>
      <c r="D3" s="11">
        <f>VLOOKUP(MID(B3,2,LEN(B3)),'Điểm thực hành các buổi'!$B$3:$D$41,3,0)</f>
        <v>0.45</v>
      </c>
      <c r="E3" s="11">
        <f>VLOOKUP(MID(B3,2,LEN(B3)),'Điểm thực hành các buổi'!$B$3:$E$41,4,0)</f>
        <v>0.4</v>
      </c>
      <c r="F3" s="11">
        <f>VLOOKUP(MID(B3,2,LEN(B3)),'Điểm thực hành các buổi'!$B$3:$F$41,5,0)</f>
        <v>0.4</v>
      </c>
      <c r="G3" s="11">
        <f>VLOOKUP(MID(B3,2,LEN(B3)),'Điểm bài tập lớn'!$B$3:$D$41,3,0)</f>
        <v>1</v>
      </c>
      <c r="H3" s="11">
        <f>VLOOKUP(MID(B3,2,LEN(B3)),'Điểm lý thuyết'!$B$3:$D$41,3,0)</f>
        <v>7.7</v>
      </c>
      <c r="I3" s="11">
        <f t="shared" si="1"/>
        <v>6.87</v>
      </c>
      <c r="J3" s="12">
        <f>IF(OR(G3=0,VALUE(LEFT(B3,1))&gt;2),0,ROUND(I3+VLOOKUP(VALUE(LEFT(B3,1)),'Các bảng tham chiếu &amp; Thống kê'!$E$3:$F$5,2,0),1))</f>
        <v>7.9</v>
      </c>
      <c r="K3" s="11" t="str">
        <f>LOOKUP(J3,'Các bảng tham chiếu &amp; Thống kê'!$A$3:$A$10,'Các bảng tham chiếu &amp; Thống kê'!$B$3:$B$10)</f>
        <v>B</v>
      </c>
    </row>
    <row r="4">
      <c r="A4" s="9">
        <v>17.0</v>
      </c>
      <c r="B4" s="10" t="s">
        <v>37</v>
      </c>
      <c r="C4" s="10" t="str">
        <f>VLOOKUP(MID(B4,2,LEN(B4)),'Điểm thực hành các buổi'!$B$3:$C$41,2,0)</f>
        <v>Nguyễn Hải Anh</v>
      </c>
      <c r="D4" s="11">
        <f>VLOOKUP(MID(B4,2,LEN(B4)),'Điểm thực hành các buổi'!$B$3:$D$41,3,0)</f>
        <v>0.5</v>
      </c>
      <c r="E4" s="11">
        <f>VLOOKUP(MID(B4,2,LEN(B4)),'Điểm thực hành các buổi'!$B$3:$E$41,4,0)</f>
        <v>0.5</v>
      </c>
      <c r="F4" s="11">
        <f>VLOOKUP(MID(B4,2,LEN(B4)),'Điểm thực hành các buổi'!$B$3:$F$41,5,0)</f>
        <v>0.45</v>
      </c>
      <c r="G4" s="11">
        <f>VLOOKUP(MID(B4,2,LEN(B4)),'Điểm bài tập lớn'!$B$3:$D$41,3,0)</f>
        <v>1.5</v>
      </c>
      <c r="H4" s="11">
        <f>VLOOKUP(MID(B4,2,LEN(B4)),'Điểm lý thuyết'!$B$3:$D$41,3,0)</f>
        <v>7</v>
      </c>
      <c r="I4" s="11">
        <f t="shared" si="1"/>
        <v>7.15</v>
      </c>
      <c r="J4" s="12">
        <f>IF(OR(G4=0,VALUE(LEFT(B4,1))&gt;2),0,ROUND(I4+VLOOKUP(VALUE(LEFT(B4,1)),'Các bảng tham chiếu &amp; Thống kê'!$E$3:$F$5,2,0),1))</f>
        <v>7.4</v>
      </c>
      <c r="K4" s="11" t="str">
        <f>LOOKUP(J4,'Các bảng tham chiếu &amp; Thống kê'!$A$3:$A$10,'Các bảng tham chiếu &amp; Thống kê'!$B$3:$B$10)</f>
        <v>B</v>
      </c>
    </row>
    <row r="5">
      <c r="A5" s="9">
        <v>21.0</v>
      </c>
      <c r="B5" s="10" t="s">
        <v>41</v>
      </c>
      <c r="C5" s="10" t="str">
        <f>VLOOKUP(MID(B5,2,LEN(B5)),'Điểm thực hành các buổi'!$B$3:$C$41,2,0)</f>
        <v>Ngô Hùng Vĩ</v>
      </c>
      <c r="D5" s="11">
        <f>VLOOKUP(MID(B5,2,LEN(B5)),'Điểm thực hành các buổi'!$B$3:$D$41,3,0)</f>
        <v>0.5</v>
      </c>
      <c r="E5" s="11">
        <f>VLOOKUP(MID(B5,2,LEN(B5)),'Điểm thực hành các buổi'!$B$3:$E$41,4,0)</f>
        <v>0.4</v>
      </c>
      <c r="F5" s="11">
        <f>VLOOKUP(MID(B5,2,LEN(B5)),'Điểm thực hành các buổi'!$B$3:$F$41,5,0)</f>
        <v>0.45</v>
      </c>
      <c r="G5" s="11">
        <f>VLOOKUP(MID(B5,2,LEN(B5)),'Điểm bài tập lớn'!$B$3:$D$41,3,0)</f>
        <v>1.35</v>
      </c>
      <c r="H5" s="11">
        <f>VLOOKUP(MID(B5,2,LEN(B5)),'Điểm lý thuyết'!$B$3:$D$41,3,0)</f>
        <v>6.7</v>
      </c>
      <c r="I5" s="11">
        <f t="shared" si="1"/>
        <v>6.72</v>
      </c>
      <c r="J5" s="12">
        <f>IF(OR(G5=0,VALUE(LEFT(B5,1))&gt;2),0,ROUND(I5+VLOOKUP(VALUE(LEFT(B5,1)),'Các bảng tham chiếu &amp; Thống kê'!$E$3:$F$5,2,0),1))</f>
        <v>7.7</v>
      </c>
      <c r="K5" s="11" t="str">
        <f>LOOKUP(J5,'Các bảng tham chiếu &amp; Thống kê'!$A$3:$A$10,'Các bảng tham chiếu &amp; Thống kê'!$B$3:$B$10)</f>
        <v>B</v>
      </c>
    </row>
    <row r="6">
      <c r="A6" s="9">
        <v>23.0</v>
      </c>
      <c r="B6" s="10" t="s">
        <v>43</v>
      </c>
      <c r="C6" s="10" t="str">
        <f>VLOOKUP(MID(B6,2,LEN(B6)),'Điểm thực hành các buổi'!$B$3:$C$41,2,0)</f>
        <v>Lê Hồng Quốc Vương</v>
      </c>
      <c r="D6" s="11">
        <f>VLOOKUP(MID(B6,2,LEN(B6)),'Điểm thực hành các buổi'!$B$3:$D$41,3,0)</f>
        <v>0.5</v>
      </c>
      <c r="E6" s="11">
        <f>VLOOKUP(MID(B6,2,LEN(B6)),'Điểm thực hành các buổi'!$B$3:$E$41,4,0)</f>
        <v>0.5</v>
      </c>
      <c r="F6" s="11">
        <f>VLOOKUP(MID(B6,2,LEN(B6)),'Điểm thực hành các buổi'!$B$3:$F$41,5,0)</f>
        <v>0.5</v>
      </c>
      <c r="G6" s="11">
        <f>VLOOKUP(MID(B6,2,LEN(B6)),'Điểm bài tập lớn'!$B$3:$D$41,3,0)</f>
        <v>1.5</v>
      </c>
      <c r="H6" s="11">
        <f>VLOOKUP(MID(B6,2,LEN(B6)),'Điểm lý thuyết'!$B$3:$D$41,3,0)</f>
        <v>7.5</v>
      </c>
      <c r="I6" s="11">
        <f t="shared" si="1"/>
        <v>7.5</v>
      </c>
      <c r="J6" s="12">
        <f>IF(OR(G6=0,VALUE(LEFT(B6,1))&gt;2),0,ROUND(I6+VLOOKUP(VALUE(LEFT(B6,1)),'Các bảng tham chiếu &amp; Thống kê'!$E$3:$F$5,2,0),1))</f>
        <v>8.5</v>
      </c>
      <c r="K6" s="11" t="str">
        <f>LOOKUP(J6,'Các bảng tham chiếu &amp; Thống kê'!$A$3:$A$10,'Các bảng tham chiếu &amp; Thống kê'!$B$3:$B$10)</f>
        <v>B+</v>
      </c>
    </row>
    <row r="7">
      <c r="A7" s="9">
        <v>24.0</v>
      </c>
      <c r="B7" s="10" t="s">
        <v>44</v>
      </c>
      <c r="C7" s="10" t="str">
        <f>VLOOKUP(MID(B7,2,LEN(B7)),'Điểm thực hành các buổi'!$B$3:$C$41,2,0)</f>
        <v>Huỳnh Hoàng Ẩn</v>
      </c>
      <c r="D7" s="11">
        <f>VLOOKUP(MID(B7,2,LEN(B7)),'Điểm thực hành các buổi'!$B$3:$D$41,3,0)</f>
        <v>0.45</v>
      </c>
      <c r="E7" s="11">
        <f>VLOOKUP(MID(B7,2,LEN(B7)),'Điểm thực hành các buổi'!$B$3:$E$41,4,0)</f>
        <v>0.3</v>
      </c>
      <c r="F7" s="11">
        <f>VLOOKUP(MID(B7,2,LEN(B7)),'Điểm thực hành các buổi'!$B$3:$F$41,5,0)</f>
        <v>0.45</v>
      </c>
      <c r="G7" s="11">
        <f>VLOOKUP(MID(B7,2,LEN(B7)),'Điểm bài tập lớn'!$B$3:$D$41,3,0)</f>
        <v>1.2</v>
      </c>
      <c r="H7" s="11">
        <f>VLOOKUP(MID(B7,2,LEN(B7)),'Điểm lý thuyết'!$B$3:$D$41,3,0)</f>
        <v>8.8</v>
      </c>
      <c r="I7" s="11">
        <f t="shared" si="1"/>
        <v>7.68</v>
      </c>
      <c r="J7" s="12">
        <f>IF(OR(G7=0,VALUE(LEFT(B7,1))&gt;2),0,ROUND(I7+VLOOKUP(VALUE(LEFT(B7,1)),'Các bảng tham chiếu &amp; Thống kê'!$E$3:$F$5,2,0),1))</f>
        <v>7.9</v>
      </c>
      <c r="K7" s="11" t="str">
        <f>LOOKUP(J7,'Các bảng tham chiếu &amp; Thống kê'!$A$3:$A$10,'Các bảng tham chiếu &amp; Thống kê'!$B$3:$B$10)</f>
        <v>B</v>
      </c>
    </row>
    <row r="8">
      <c r="A8" s="9">
        <v>26.0</v>
      </c>
      <c r="B8" s="10" t="s">
        <v>46</v>
      </c>
      <c r="C8" s="10" t="str">
        <f>VLOOKUP(MID(B8,2,LEN(B8)),'Điểm thực hành các buổi'!$B$3:$C$41,2,0)</f>
        <v>Đặng Trung Kiên</v>
      </c>
      <c r="D8" s="11">
        <f>VLOOKUP(MID(B8,2,LEN(B8)),'Điểm thực hành các buổi'!$B$3:$D$41,3,0)</f>
        <v>0.5</v>
      </c>
      <c r="E8" s="11">
        <f>VLOOKUP(MID(B8,2,LEN(B8)),'Điểm thực hành các buổi'!$B$3:$E$41,4,0)</f>
        <v>0.3</v>
      </c>
      <c r="F8" s="11">
        <f>VLOOKUP(MID(B8,2,LEN(B8)),'Điểm thực hành các buổi'!$B$3:$F$41,5,0)</f>
        <v>0.45</v>
      </c>
      <c r="G8" s="11">
        <f>VLOOKUP(MID(B8,2,LEN(B8)),'Điểm bài tập lớn'!$B$3:$D$41,3,0)</f>
        <v>1</v>
      </c>
      <c r="H8" s="11">
        <f>VLOOKUP(MID(B8,2,LEN(B8)),'Điểm lý thuyết'!$B$3:$D$41,3,0)</f>
        <v>7.8</v>
      </c>
      <c r="I8" s="11">
        <f t="shared" si="1"/>
        <v>6.93</v>
      </c>
      <c r="J8" s="12">
        <f>IF(OR(G8=0,VALUE(LEFT(B8,1))&gt;2),0,ROUND(I8+VLOOKUP(VALUE(LEFT(B8,1)),'Các bảng tham chiếu &amp; Thống kê'!$E$3:$F$5,2,0),1))</f>
        <v>7.9</v>
      </c>
      <c r="K8" s="11" t="str">
        <f>LOOKUP(J8,'Các bảng tham chiếu &amp; Thống kê'!$A$3:$A$10,'Các bảng tham chiếu &amp; Thống kê'!$B$3:$B$10)</f>
        <v>B</v>
      </c>
    </row>
    <row r="9">
      <c r="A9" s="9">
        <v>27.0</v>
      </c>
      <c r="B9" s="10" t="s">
        <v>47</v>
      </c>
      <c r="C9" s="10" t="str">
        <f>VLOOKUP(MID(B9,2,LEN(B9)),'Điểm thực hành các buổi'!$B$3:$C$41,2,0)</f>
        <v>Ngụy Hữu Lộc</v>
      </c>
      <c r="D9" s="11">
        <f>VLOOKUP(MID(B9,2,LEN(B9)),'Điểm thực hành các buổi'!$B$3:$D$41,3,0)</f>
        <v>0.5</v>
      </c>
      <c r="E9" s="11">
        <f>VLOOKUP(MID(B9,2,LEN(B9)),'Điểm thực hành các buổi'!$B$3:$E$41,4,0)</f>
        <v>0.4</v>
      </c>
      <c r="F9" s="11">
        <f>VLOOKUP(MID(B9,2,LEN(B9)),'Điểm thực hành các buổi'!$B$3:$F$41,5,0)</f>
        <v>0.45</v>
      </c>
      <c r="G9" s="11">
        <f>VLOOKUP(MID(B9,2,LEN(B9)),'Điểm bài tập lớn'!$B$3:$D$41,3,0)</f>
        <v>1.5</v>
      </c>
      <c r="H9" s="11">
        <f>VLOOKUP(MID(B9,2,LEN(B9)),'Điểm lý thuyết'!$B$3:$D$41,3,0)</f>
        <v>8.8</v>
      </c>
      <c r="I9" s="11">
        <f t="shared" si="1"/>
        <v>8.13</v>
      </c>
      <c r="J9" s="12">
        <f>IF(OR(G9=0,VALUE(LEFT(B9,1))&gt;2),0,ROUND(I9+VLOOKUP(VALUE(LEFT(B9,1)),'Các bảng tham chiếu &amp; Thống kê'!$E$3:$F$5,2,0),1))</f>
        <v>9.1</v>
      </c>
      <c r="K9" s="11" t="str">
        <f>LOOKUP(J9,'Các bảng tham chiếu &amp; Thống kê'!$A$3:$A$10,'Các bảng tham chiếu &amp; Thống kê'!$B$3:$B$10)</f>
        <v>A</v>
      </c>
    </row>
    <row r="10">
      <c r="A10" s="9">
        <v>28.0</v>
      </c>
      <c r="B10" s="10" t="s">
        <v>48</v>
      </c>
      <c r="C10" s="10" t="str">
        <f>VLOOKUP(MID(B10,2,LEN(B10)),'Điểm thực hành các buổi'!$B$3:$C$41,2,0)</f>
        <v>Nguyễn Trà Mi</v>
      </c>
      <c r="D10" s="11">
        <f>VLOOKUP(MID(B10,2,LEN(B10)),'Điểm thực hành các buổi'!$B$3:$D$41,3,0)</f>
        <v>0.5</v>
      </c>
      <c r="E10" s="11">
        <f>VLOOKUP(MID(B10,2,LEN(B10)),'Điểm thực hành các buổi'!$B$3:$E$41,4,0)</f>
        <v>0.45</v>
      </c>
      <c r="F10" s="11">
        <f>VLOOKUP(MID(B10,2,LEN(B10)),'Điểm thực hành các buổi'!$B$3:$F$41,5,0)</f>
        <v>0.45</v>
      </c>
      <c r="G10" s="11">
        <f>VLOOKUP(MID(B10,2,LEN(B10)),'Điểm bài tập lớn'!$B$3:$D$41,3,0)</f>
        <v>1</v>
      </c>
      <c r="H10" s="11">
        <f>VLOOKUP(MID(B10,2,LEN(B10)),'Điểm lý thuyết'!$B$3:$D$41,3,0)</f>
        <v>7.8</v>
      </c>
      <c r="I10" s="11">
        <f t="shared" si="1"/>
        <v>7.08</v>
      </c>
      <c r="J10" s="12">
        <f>IF(OR(G10=0,VALUE(LEFT(B10,1))&gt;2),0,ROUND(I10+VLOOKUP(VALUE(LEFT(B10,1)),'Các bảng tham chiếu &amp; Thống kê'!$E$3:$F$5,2,0),1))</f>
        <v>8.1</v>
      </c>
      <c r="K10" s="11" t="str">
        <f>LOOKUP(J10,'Các bảng tham chiếu &amp; Thống kê'!$A$3:$A$10,'Các bảng tham chiếu &amp; Thống kê'!$B$3:$B$10)</f>
        <v>B+</v>
      </c>
    </row>
    <row r="11">
      <c r="A11" s="9">
        <v>31.0</v>
      </c>
      <c r="B11" s="10" t="s">
        <v>51</v>
      </c>
      <c r="C11" s="10" t="str">
        <f>VLOOKUP(MID(B11,2,LEN(B11)),'Điểm thực hành các buổi'!$B$3:$C$41,2,0)</f>
        <v>Trần Thị Hoàng Quyên</v>
      </c>
      <c r="D11" s="11">
        <f>VLOOKUP(MID(B11,2,LEN(B11)),'Điểm thực hành các buổi'!$B$3:$D$41,3,0)</f>
        <v>0.4</v>
      </c>
      <c r="E11" s="11">
        <f>VLOOKUP(MID(B11,2,LEN(B11)),'Điểm thực hành các buổi'!$B$3:$E$41,4,0)</f>
        <v>0.5</v>
      </c>
      <c r="F11" s="11">
        <f>VLOOKUP(MID(B11,2,LEN(B11)),'Điểm thực hành các buổi'!$B$3:$F$41,5,0)</f>
        <v>0.5</v>
      </c>
      <c r="G11" s="11">
        <f>VLOOKUP(MID(B11,2,LEN(B11)),'Điểm bài tập lớn'!$B$3:$D$41,3,0)</f>
        <v>1</v>
      </c>
      <c r="H11" s="11">
        <f>VLOOKUP(MID(B11,2,LEN(B11)),'Điểm lý thuyết'!$B$3:$D$41,3,0)</f>
        <v>9.2</v>
      </c>
      <c r="I11" s="11">
        <f t="shared" si="1"/>
        <v>7.92</v>
      </c>
      <c r="J11" s="12">
        <f>IF(OR(G11=0,VALUE(LEFT(B11,1))&gt;2),0,ROUND(I11+VLOOKUP(VALUE(LEFT(B11,1)),'Các bảng tham chiếu &amp; Thống kê'!$E$3:$F$5,2,0),1))</f>
        <v>8.9</v>
      </c>
      <c r="K11" s="11" t="str">
        <f>LOOKUP(J11,'Các bảng tham chiếu &amp; Thống kê'!$A$3:$A$10,'Các bảng tham chiếu &amp; Thống kê'!$B$3:$B$10)</f>
        <v>B+</v>
      </c>
    </row>
    <row r="12">
      <c r="A12" s="9">
        <v>32.0</v>
      </c>
      <c r="B12" s="10" t="s">
        <v>52</v>
      </c>
      <c r="C12" s="10" t="str">
        <f>VLOOKUP(MID(B12,2,LEN(B12)),'Điểm thực hành các buổi'!$B$3:$C$41,2,0)</f>
        <v>Trương Quốc Thái</v>
      </c>
      <c r="D12" s="11">
        <f>VLOOKUP(MID(B12,2,LEN(B12)),'Điểm thực hành các buổi'!$B$3:$D$41,3,0)</f>
        <v>0.4</v>
      </c>
      <c r="E12" s="11">
        <f>VLOOKUP(MID(B12,2,LEN(B12)),'Điểm thực hành các buổi'!$B$3:$E$41,4,0)</f>
        <v>0.4</v>
      </c>
      <c r="F12" s="11">
        <f>VLOOKUP(MID(B12,2,LEN(B12)),'Điểm thực hành các buổi'!$B$3:$F$41,5,0)</f>
        <v>0.45</v>
      </c>
      <c r="G12" s="11">
        <f>VLOOKUP(MID(B12,2,LEN(B12)),'Điểm bài tập lớn'!$B$3:$D$41,3,0)</f>
        <v>1</v>
      </c>
      <c r="H12" s="11">
        <f>VLOOKUP(MID(B12,2,LEN(B12)),'Điểm lý thuyết'!$B$3:$D$41,3,0)</f>
        <v>7.5</v>
      </c>
      <c r="I12" s="11">
        <f t="shared" si="1"/>
        <v>6.75</v>
      </c>
      <c r="J12" s="12">
        <f>IF(OR(G12=0,VALUE(LEFT(B12,1))&gt;2),0,ROUND(I12+VLOOKUP(VALUE(LEFT(B12,1)),'Các bảng tham chiếu &amp; Thống kê'!$E$3:$F$5,2,0),1))</f>
        <v>7.8</v>
      </c>
      <c r="K12" s="11" t="str">
        <f>LOOKUP(J12,'Các bảng tham chiếu &amp; Thống kê'!$A$3:$A$10,'Các bảng tham chiếu &amp; Thống kê'!$B$3:$B$10)</f>
        <v>B</v>
      </c>
    </row>
    <row r="13">
      <c r="A13" s="9">
        <v>34.0</v>
      </c>
      <c r="B13" s="10" t="s">
        <v>54</v>
      </c>
      <c r="C13" s="10" t="str">
        <f>VLOOKUP(MID(B13,2,LEN(B13)),'Điểm thực hành các buổi'!$B$3:$C$41,2,0)</f>
        <v>Nguyễn Chí Tôn</v>
      </c>
      <c r="D13" s="11">
        <f>VLOOKUP(MID(B13,2,LEN(B13)),'Điểm thực hành các buổi'!$B$3:$D$41,3,0)</f>
        <v>0.4</v>
      </c>
      <c r="E13" s="11">
        <f>VLOOKUP(MID(B13,2,LEN(B13)),'Điểm thực hành các buổi'!$B$3:$E$41,4,0)</f>
        <v>0</v>
      </c>
      <c r="F13" s="11">
        <f>VLOOKUP(MID(B13,2,LEN(B13)),'Điểm thực hành các buổi'!$B$3:$F$41,5,0)</f>
        <v>0.45</v>
      </c>
      <c r="G13" s="11">
        <f>VLOOKUP(MID(B13,2,LEN(B13)),'Điểm bài tập lớn'!$B$3:$D$41,3,0)</f>
        <v>0.75</v>
      </c>
      <c r="H13" s="11">
        <f>VLOOKUP(MID(B13,2,LEN(B13)),'Điểm lý thuyết'!$B$3:$D$41,3,0)</f>
        <v>8.3</v>
      </c>
      <c r="I13" s="11">
        <f t="shared" si="1"/>
        <v>6.58</v>
      </c>
      <c r="J13" s="12">
        <f>IF(OR(G13=0,VALUE(LEFT(B13,1))&gt;2),0,ROUND(I13+VLOOKUP(VALUE(LEFT(B13,1)),'Các bảng tham chiếu &amp; Thống kê'!$E$3:$F$5,2,0),1))</f>
        <v>7.1</v>
      </c>
      <c r="K13" s="11" t="str">
        <f>LOOKUP(J13,'Các bảng tham chiếu &amp; Thống kê'!$A$3:$A$10,'Các bảng tham chiếu &amp; Thống kê'!$B$3:$B$10)</f>
        <v>B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K2">
    <cfRule type="cellIs" dxfId="0" priority="1" operator="lessThan">
      <formula>4</formula>
    </cfRule>
  </conditionalFormatting>
  <conditionalFormatting sqref="J3:K3">
    <cfRule type="cellIs" dxfId="0" priority="2" operator="lessThan">
      <formula>4</formula>
    </cfRule>
  </conditionalFormatting>
  <conditionalFormatting sqref="J4:K4">
    <cfRule type="cellIs" dxfId="0" priority="3" operator="lessThan">
      <formula>4</formula>
    </cfRule>
  </conditionalFormatting>
  <conditionalFormatting sqref="J5:K5">
    <cfRule type="cellIs" dxfId="0" priority="4" operator="lessThan">
      <formula>4</formula>
    </cfRule>
  </conditionalFormatting>
  <conditionalFormatting sqref="J13:K13">
    <cfRule type="cellIs" dxfId="0" priority="5" operator="lessThan">
      <formula>4</formula>
    </cfRule>
  </conditionalFormatting>
  <conditionalFormatting sqref="J6:K7">
    <cfRule type="cellIs" dxfId="0" priority="6" operator="lessThan">
      <formula>4</formula>
    </cfRule>
  </conditionalFormatting>
  <conditionalFormatting sqref="J8:K10">
    <cfRule type="cellIs" dxfId="0" priority="7" operator="lessThan">
      <formula>4</formula>
    </cfRule>
  </conditionalFormatting>
  <conditionalFormatting sqref="J11:K12">
    <cfRule type="cellIs" dxfId="0" priority="8" operator="lessThan">
      <formula>4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6.14"/>
    <col customWidth="1" min="3" max="3" width="31.86"/>
    <col customWidth="1" min="4" max="6" width="16.71"/>
    <col customWidth="1" min="7" max="26" width="8.71"/>
  </cols>
  <sheetData>
    <row r="1" ht="12.75" customHeight="1">
      <c r="A1" s="13" t="s">
        <v>60</v>
      </c>
      <c r="B1" s="14"/>
      <c r="C1" s="14"/>
      <c r="D1" s="14"/>
      <c r="E1" s="14"/>
      <c r="F1" s="1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2.75" customHeight="1">
      <c r="A2" s="16" t="s">
        <v>10</v>
      </c>
      <c r="B2" s="16" t="s">
        <v>11</v>
      </c>
      <c r="C2" s="16" t="s">
        <v>12</v>
      </c>
      <c r="D2" s="16" t="s">
        <v>13</v>
      </c>
      <c r="E2" s="16" t="s">
        <v>14</v>
      </c>
      <c r="F2" s="16" t="s">
        <v>15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9">
        <v>1.0</v>
      </c>
      <c r="B3" s="17" t="s">
        <v>61</v>
      </c>
      <c r="C3" s="10" t="s">
        <v>62</v>
      </c>
      <c r="D3" s="11">
        <v>0.45</v>
      </c>
      <c r="E3" s="11">
        <v>0.25</v>
      </c>
      <c r="F3" s="11">
        <v>0.3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2.75" customHeight="1">
      <c r="A4" s="9">
        <v>2.0</v>
      </c>
      <c r="B4" s="17" t="s">
        <v>63</v>
      </c>
      <c r="C4" s="10" t="s">
        <v>64</v>
      </c>
      <c r="D4" s="11">
        <v>0.5</v>
      </c>
      <c r="E4" s="11">
        <v>0.35</v>
      </c>
      <c r="F4" s="11">
        <v>0.4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9">
        <v>3.0</v>
      </c>
      <c r="B5" s="17" t="s">
        <v>65</v>
      </c>
      <c r="C5" s="10" t="s">
        <v>66</v>
      </c>
      <c r="D5" s="11">
        <v>0.25</v>
      </c>
      <c r="E5" s="11">
        <v>0.25</v>
      </c>
      <c r="F5" s="11">
        <v>0.3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9">
        <v>4.0</v>
      </c>
      <c r="B6" s="17" t="s">
        <v>67</v>
      </c>
      <c r="C6" s="10" t="s">
        <v>68</v>
      </c>
      <c r="D6" s="11">
        <v>0.4</v>
      </c>
      <c r="E6" s="11">
        <v>0.25</v>
      </c>
      <c r="F6" s="11">
        <v>0.35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9">
        <v>5.0</v>
      </c>
      <c r="B7" s="17" t="s">
        <v>69</v>
      </c>
      <c r="C7" s="10" t="s">
        <v>70</v>
      </c>
      <c r="D7" s="11">
        <v>0.45</v>
      </c>
      <c r="E7" s="11">
        <v>0.4</v>
      </c>
      <c r="F7" s="11">
        <v>0.35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9">
        <v>6.0</v>
      </c>
      <c r="B8" s="17" t="s">
        <v>71</v>
      </c>
      <c r="C8" s="10" t="s">
        <v>72</v>
      </c>
      <c r="D8" s="11">
        <v>0.4</v>
      </c>
      <c r="E8" s="11">
        <v>0.45</v>
      </c>
      <c r="F8" s="11">
        <v>0.5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9">
        <v>7.0</v>
      </c>
      <c r="B9" s="17" t="s">
        <v>73</v>
      </c>
      <c r="C9" s="10" t="s">
        <v>74</v>
      </c>
      <c r="D9" s="11">
        <v>0.4</v>
      </c>
      <c r="E9" s="11">
        <v>0.4</v>
      </c>
      <c r="F9" s="11">
        <v>0.4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9">
        <v>8.0</v>
      </c>
      <c r="B10" s="17" t="s">
        <v>75</v>
      </c>
      <c r="C10" s="10" t="s">
        <v>76</v>
      </c>
      <c r="D10" s="11">
        <v>0.45</v>
      </c>
      <c r="E10" s="11">
        <v>0.4</v>
      </c>
      <c r="F10" s="11">
        <v>0.4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9">
        <v>9.0</v>
      </c>
      <c r="B11" s="17" t="s">
        <v>77</v>
      </c>
      <c r="C11" s="10" t="s">
        <v>78</v>
      </c>
      <c r="D11" s="11">
        <v>0.5</v>
      </c>
      <c r="E11" s="11">
        <v>0.4</v>
      </c>
      <c r="F11" s="11">
        <v>0.4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9">
        <v>10.0</v>
      </c>
      <c r="B12" s="17" t="s">
        <v>79</v>
      </c>
      <c r="C12" s="10" t="s">
        <v>80</v>
      </c>
      <c r="D12" s="11">
        <v>0.45</v>
      </c>
      <c r="E12" s="11">
        <v>0.4</v>
      </c>
      <c r="F12" s="11">
        <v>0.45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9">
        <v>11.0</v>
      </c>
      <c r="B13" s="17" t="s">
        <v>81</v>
      </c>
      <c r="C13" s="10" t="s">
        <v>82</v>
      </c>
      <c r="D13" s="11">
        <v>0.45</v>
      </c>
      <c r="E13" s="11">
        <v>0.4</v>
      </c>
      <c r="F13" s="11">
        <v>0.4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9">
        <v>12.0</v>
      </c>
      <c r="B14" s="17" t="s">
        <v>83</v>
      </c>
      <c r="C14" s="10" t="s">
        <v>84</v>
      </c>
      <c r="D14" s="11">
        <v>0.3</v>
      </c>
      <c r="E14" s="11">
        <v>0.5</v>
      </c>
      <c r="F14" s="11">
        <v>0.45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9">
        <v>13.0</v>
      </c>
      <c r="B15" s="17" t="s">
        <v>85</v>
      </c>
      <c r="C15" s="10" t="s">
        <v>86</v>
      </c>
      <c r="D15" s="11">
        <v>0.4</v>
      </c>
      <c r="E15" s="11">
        <v>0.5</v>
      </c>
      <c r="F15" s="11">
        <v>0.5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9">
        <v>14.0</v>
      </c>
      <c r="B16" s="17" t="s">
        <v>87</v>
      </c>
      <c r="C16" s="10" t="s">
        <v>88</v>
      </c>
      <c r="D16" s="11">
        <v>0.5</v>
      </c>
      <c r="E16" s="11">
        <v>0.5</v>
      </c>
      <c r="F16" s="11">
        <v>0.45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9">
        <v>15.0</v>
      </c>
      <c r="B17" s="17" t="s">
        <v>89</v>
      </c>
      <c r="C17" s="10" t="s">
        <v>90</v>
      </c>
      <c r="D17" s="11">
        <v>0.4</v>
      </c>
      <c r="E17" s="11">
        <v>0.45</v>
      </c>
      <c r="F17" s="11">
        <v>0.4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9">
        <v>16.0</v>
      </c>
      <c r="B18" s="17" t="s">
        <v>91</v>
      </c>
      <c r="C18" s="10" t="s">
        <v>92</v>
      </c>
      <c r="D18" s="11">
        <v>0.4</v>
      </c>
      <c r="E18" s="11">
        <v>0.45</v>
      </c>
      <c r="F18" s="11">
        <v>0.45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9">
        <v>17.0</v>
      </c>
      <c r="B19" s="17" t="s">
        <v>93</v>
      </c>
      <c r="C19" s="10" t="s">
        <v>94</v>
      </c>
      <c r="D19" s="11">
        <v>0.5</v>
      </c>
      <c r="E19" s="11">
        <v>0.5</v>
      </c>
      <c r="F19" s="11">
        <v>0.45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9">
        <v>18.0</v>
      </c>
      <c r="B20" s="17" t="s">
        <v>95</v>
      </c>
      <c r="C20" s="10" t="s">
        <v>96</v>
      </c>
      <c r="D20" s="11">
        <v>0.4</v>
      </c>
      <c r="E20" s="11">
        <v>0.4</v>
      </c>
      <c r="F20" s="11">
        <v>0.4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9">
        <v>19.0</v>
      </c>
      <c r="B21" s="17" t="s">
        <v>97</v>
      </c>
      <c r="C21" s="10" t="s">
        <v>98</v>
      </c>
      <c r="D21" s="11">
        <v>0.4</v>
      </c>
      <c r="E21" s="11">
        <v>0.4</v>
      </c>
      <c r="F21" s="11">
        <v>0.35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9">
        <v>20.0</v>
      </c>
      <c r="B22" s="17" t="s">
        <v>99</v>
      </c>
      <c r="C22" s="10" t="s">
        <v>100</v>
      </c>
      <c r="D22" s="11">
        <v>0.35</v>
      </c>
      <c r="E22" s="11">
        <v>0.4</v>
      </c>
      <c r="F22" s="11">
        <v>0.0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9">
        <v>21.0</v>
      </c>
      <c r="B23" s="17" t="s">
        <v>101</v>
      </c>
      <c r="C23" s="10" t="s">
        <v>102</v>
      </c>
      <c r="D23" s="11">
        <v>0.5</v>
      </c>
      <c r="E23" s="11">
        <v>0.4</v>
      </c>
      <c r="F23" s="11">
        <v>0.45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9">
        <v>22.0</v>
      </c>
      <c r="B24" s="17" t="s">
        <v>103</v>
      </c>
      <c r="C24" s="10" t="s">
        <v>104</v>
      </c>
      <c r="D24" s="11">
        <v>0.4</v>
      </c>
      <c r="E24" s="11">
        <v>0.4</v>
      </c>
      <c r="F24" s="11">
        <v>0.4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9">
        <v>23.0</v>
      </c>
      <c r="B25" s="17" t="s">
        <v>105</v>
      </c>
      <c r="C25" s="10" t="s">
        <v>106</v>
      </c>
      <c r="D25" s="11">
        <v>0.5</v>
      </c>
      <c r="E25" s="11">
        <v>0.5</v>
      </c>
      <c r="F25" s="11">
        <v>0.5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9">
        <v>24.0</v>
      </c>
      <c r="B26" s="17" t="s">
        <v>107</v>
      </c>
      <c r="C26" s="10" t="s">
        <v>108</v>
      </c>
      <c r="D26" s="11">
        <v>0.45</v>
      </c>
      <c r="E26" s="11">
        <v>0.3</v>
      </c>
      <c r="F26" s="11">
        <v>0.45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9">
        <v>25.0</v>
      </c>
      <c r="B27" s="17" t="s">
        <v>109</v>
      </c>
      <c r="C27" s="10" t="s">
        <v>110</v>
      </c>
      <c r="D27" s="11">
        <v>0.3</v>
      </c>
      <c r="E27" s="11">
        <v>0.3</v>
      </c>
      <c r="F27" s="11">
        <v>0.4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9">
        <v>26.0</v>
      </c>
      <c r="B28" s="17" t="s">
        <v>111</v>
      </c>
      <c r="C28" s="10" t="s">
        <v>112</v>
      </c>
      <c r="D28" s="11">
        <v>0.5</v>
      </c>
      <c r="E28" s="11">
        <v>0.3</v>
      </c>
      <c r="F28" s="11">
        <v>0.45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9">
        <v>27.0</v>
      </c>
      <c r="B29" s="17" t="s">
        <v>113</v>
      </c>
      <c r="C29" s="10" t="s">
        <v>114</v>
      </c>
      <c r="D29" s="11">
        <v>0.5</v>
      </c>
      <c r="E29" s="11">
        <v>0.4</v>
      </c>
      <c r="F29" s="11">
        <v>0.45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9">
        <v>28.0</v>
      </c>
      <c r="B30" s="17" t="s">
        <v>115</v>
      </c>
      <c r="C30" s="10" t="s">
        <v>116</v>
      </c>
      <c r="D30" s="11">
        <v>0.5</v>
      </c>
      <c r="E30" s="11">
        <v>0.45</v>
      </c>
      <c r="F30" s="11">
        <v>0.45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9">
        <v>29.0</v>
      </c>
      <c r="B31" s="17" t="s">
        <v>117</v>
      </c>
      <c r="C31" s="10" t="s">
        <v>118</v>
      </c>
      <c r="D31" s="11">
        <v>0.5</v>
      </c>
      <c r="E31" s="11">
        <v>0.5</v>
      </c>
      <c r="F31" s="11">
        <v>0.5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9">
        <v>30.0</v>
      </c>
      <c r="B32" s="17" t="s">
        <v>119</v>
      </c>
      <c r="C32" s="10" t="s">
        <v>120</v>
      </c>
      <c r="D32" s="11">
        <v>0.5</v>
      </c>
      <c r="E32" s="11">
        <v>0.4</v>
      </c>
      <c r="F32" s="11">
        <v>0.45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9">
        <v>31.0</v>
      </c>
      <c r="B33" s="17" t="s">
        <v>121</v>
      </c>
      <c r="C33" s="10" t="s">
        <v>122</v>
      </c>
      <c r="D33" s="11">
        <v>0.4</v>
      </c>
      <c r="E33" s="11">
        <v>0.5</v>
      </c>
      <c r="F33" s="11">
        <v>0.5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9">
        <v>32.0</v>
      </c>
      <c r="B34" s="17" t="s">
        <v>123</v>
      </c>
      <c r="C34" s="10" t="s">
        <v>124</v>
      </c>
      <c r="D34" s="11">
        <v>0.4</v>
      </c>
      <c r="E34" s="11">
        <v>0.4</v>
      </c>
      <c r="F34" s="11">
        <v>0.45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9">
        <v>33.0</v>
      </c>
      <c r="B35" s="17" t="s">
        <v>125</v>
      </c>
      <c r="C35" s="10" t="s">
        <v>126</v>
      </c>
      <c r="D35" s="11">
        <v>0.4</v>
      </c>
      <c r="E35" s="11">
        <v>0.45</v>
      </c>
      <c r="F35" s="11">
        <v>0.45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9">
        <v>34.0</v>
      </c>
      <c r="B36" s="17" t="s">
        <v>127</v>
      </c>
      <c r="C36" s="10" t="s">
        <v>128</v>
      </c>
      <c r="D36" s="11">
        <v>0.4</v>
      </c>
      <c r="E36" s="11">
        <v>0.0</v>
      </c>
      <c r="F36" s="11">
        <v>0.45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9">
        <v>35.0</v>
      </c>
      <c r="B37" s="17" t="s">
        <v>129</v>
      </c>
      <c r="C37" s="10" t="s">
        <v>130</v>
      </c>
      <c r="D37" s="11">
        <v>0.5</v>
      </c>
      <c r="E37" s="11">
        <v>0.0</v>
      </c>
      <c r="F37" s="11">
        <v>0.0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9">
        <v>36.0</v>
      </c>
      <c r="B38" s="17" t="s">
        <v>131</v>
      </c>
      <c r="C38" s="10" t="s">
        <v>132</v>
      </c>
      <c r="D38" s="11">
        <v>0.5</v>
      </c>
      <c r="E38" s="11">
        <v>0.35</v>
      </c>
      <c r="F38" s="11">
        <v>0.45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9">
        <v>37.0</v>
      </c>
      <c r="B39" s="17" t="s">
        <v>133</v>
      </c>
      <c r="C39" s="10" t="s">
        <v>134</v>
      </c>
      <c r="D39" s="11">
        <v>0.5</v>
      </c>
      <c r="E39" s="11">
        <v>0.4</v>
      </c>
      <c r="F39" s="11">
        <v>0.4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9">
        <v>38.0</v>
      </c>
      <c r="B40" s="17" t="s">
        <v>135</v>
      </c>
      <c r="C40" s="10" t="s">
        <v>136</v>
      </c>
      <c r="D40" s="11">
        <v>0.3</v>
      </c>
      <c r="E40" s="11">
        <v>0.4</v>
      </c>
      <c r="F40" s="11">
        <v>0.45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9">
        <v>39.0</v>
      </c>
      <c r="B41" s="17" t="s">
        <v>137</v>
      </c>
      <c r="C41" s="10" t="s">
        <v>138</v>
      </c>
      <c r="D41" s="11">
        <v>0.4</v>
      </c>
      <c r="E41" s="11">
        <v>0.4</v>
      </c>
      <c r="F41" s="11">
        <v>0.4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8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8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8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8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8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8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8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8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8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8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8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8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8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8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8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8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8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8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8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8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8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8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8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8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8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8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8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8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8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8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8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8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8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8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8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8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8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8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8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8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8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8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8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8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8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8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8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8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8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8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8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8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8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8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8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8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8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8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8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8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8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8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8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8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8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8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8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8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8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8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8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8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8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8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8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8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8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8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8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8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8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8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8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8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8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8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8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8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8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8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8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8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8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8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8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8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8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8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8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8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8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8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8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8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8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8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8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8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8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8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8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8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8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8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8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8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8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8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8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8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8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8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8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8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8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8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8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8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8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8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8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8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8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8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8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8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8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8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8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8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8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8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8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8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8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8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8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8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8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8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8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8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8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8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8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8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8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8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8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8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8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8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8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8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8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8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8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8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8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8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8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8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8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8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8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8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8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8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8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8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8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8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8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8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8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8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8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8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8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8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8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8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8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8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8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8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8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8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EEF3"/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5.14"/>
    <col customWidth="1" min="3" max="3" width="35.14"/>
    <col customWidth="1" min="4" max="4" width="19.14"/>
    <col customWidth="1" min="5" max="6" width="9.29"/>
    <col customWidth="1" min="7" max="24" width="8.71"/>
  </cols>
  <sheetData>
    <row r="1" ht="12.75" customHeight="1">
      <c r="A1" s="19" t="s">
        <v>139</v>
      </c>
      <c r="B1" s="3"/>
      <c r="C1" s="3"/>
      <c r="D1" s="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2.75" customHeight="1">
      <c r="A2" s="20" t="s">
        <v>10</v>
      </c>
      <c r="B2" s="20" t="s">
        <v>11</v>
      </c>
      <c r="C2" s="20" t="s">
        <v>12</v>
      </c>
      <c r="D2" s="20" t="s">
        <v>140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9">
        <v>1.0</v>
      </c>
      <c r="B3" s="17" t="s">
        <v>61</v>
      </c>
      <c r="C3" s="10" t="s">
        <v>62</v>
      </c>
      <c r="D3" s="11">
        <v>0.5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2.75" customHeight="1">
      <c r="A4" s="9">
        <v>2.0</v>
      </c>
      <c r="B4" s="17" t="s">
        <v>63</v>
      </c>
      <c r="C4" s="10" t="s">
        <v>64</v>
      </c>
      <c r="D4" s="11">
        <v>1.0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9">
        <v>3.0</v>
      </c>
      <c r="B5" s="17" t="s">
        <v>65</v>
      </c>
      <c r="C5" s="10" t="s">
        <v>66</v>
      </c>
      <c r="D5" s="11">
        <v>0.5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9">
        <v>4.0</v>
      </c>
      <c r="B6" s="17" t="s">
        <v>67</v>
      </c>
      <c r="C6" s="10" t="s">
        <v>68</v>
      </c>
      <c r="D6" s="11">
        <v>1.0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9">
        <v>5.0</v>
      </c>
      <c r="B7" s="17" t="s">
        <v>69</v>
      </c>
      <c r="C7" s="10" t="s">
        <v>70</v>
      </c>
      <c r="D7" s="11">
        <v>0.75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9">
        <v>6.0</v>
      </c>
      <c r="B8" s="17" t="s">
        <v>71</v>
      </c>
      <c r="C8" s="10" t="s">
        <v>72</v>
      </c>
      <c r="D8" s="11">
        <v>1.2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9">
        <v>7.0</v>
      </c>
      <c r="B9" s="17" t="s">
        <v>73</v>
      </c>
      <c r="C9" s="10" t="s">
        <v>74</v>
      </c>
      <c r="D9" s="11">
        <v>1.0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9">
        <v>8.0</v>
      </c>
      <c r="B10" s="17" t="s">
        <v>75</v>
      </c>
      <c r="C10" s="10" t="s">
        <v>76</v>
      </c>
      <c r="D10" s="11">
        <v>1.0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9">
        <v>9.0</v>
      </c>
      <c r="B11" s="17" t="s">
        <v>77</v>
      </c>
      <c r="C11" s="10" t="s">
        <v>78</v>
      </c>
      <c r="D11" s="11">
        <v>1.0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9">
        <v>10.0</v>
      </c>
      <c r="B12" s="17" t="s">
        <v>79</v>
      </c>
      <c r="C12" s="10" t="s">
        <v>80</v>
      </c>
      <c r="D12" s="21">
        <v>0.0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9">
        <v>11.0</v>
      </c>
      <c r="B13" s="17" t="s">
        <v>81</v>
      </c>
      <c r="C13" s="10" t="s">
        <v>82</v>
      </c>
      <c r="D13" s="11">
        <v>0.75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9">
        <v>12.0</v>
      </c>
      <c r="B14" s="17" t="s">
        <v>83</v>
      </c>
      <c r="C14" s="10" t="s">
        <v>84</v>
      </c>
      <c r="D14" s="11">
        <v>0.3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9">
        <v>13.0</v>
      </c>
      <c r="B15" s="17" t="s">
        <v>85</v>
      </c>
      <c r="C15" s="10" t="s">
        <v>86</v>
      </c>
      <c r="D15" s="11">
        <v>1.2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9">
        <v>14.0</v>
      </c>
      <c r="B16" s="17" t="s">
        <v>87</v>
      </c>
      <c r="C16" s="10" t="s">
        <v>88</v>
      </c>
      <c r="D16" s="11">
        <v>0.3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9">
        <v>15.0</v>
      </c>
      <c r="B17" s="17" t="s">
        <v>89</v>
      </c>
      <c r="C17" s="10" t="s">
        <v>90</v>
      </c>
      <c r="D17" s="11">
        <v>0.3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9">
        <v>16.0</v>
      </c>
      <c r="B18" s="17" t="s">
        <v>91</v>
      </c>
      <c r="C18" s="10" t="s">
        <v>92</v>
      </c>
      <c r="D18" s="11">
        <v>1.0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9">
        <v>17.0</v>
      </c>
      <c r="B19" s="17" t="s">
        <v>93</v>
      </c>
      <c r="C19" s="10" t="s">
        <v>94</v>
      </c>
      <c r="D19" s="11">
        <v>1.5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9">
        <v>18.0</v>
      </c>
      <c r="B20" s="17" t="s">
        <v>95</v>
      </c>
      <c r="C20" s="10" t="s">
        <v>96</v>
      </c>
      <c r="D20" s="11">
        <v>0.3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9">
        <v>19.0</v>
      </c>
      <c r="B21" s="17" t="s">
        <v>97</v>
      </c>
      <c r="C21" s="10" t="s">
        <v>98</v>
      </c>
      <c r="D21" s="11">
        <v>1.35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9">
        <v>20.0</v>
      </c>
      <c r="B22" s="17" t="s">
        <v>99</v>
      </c>
      <c r="C22" s="10" t="s">
        <v>100</v>
      </c>
      <c r="D22" s="11">
        <v>0.85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9">
        <v>21.0</v>
      </c>
      <c r="B23" s="17" t="s">
        <v>101</v>
      </c>
      <c r="C23" s="10" t="s">
        <v>102</v>
      </c>
      <c r="D23" s="11">
        <v>1.35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9">
        <v>22.0</v>
      </c>
      <c r="B24" s="17" t="s">
        <v>103</v>
      </c>
      <c r="C24" s="10" t="s">
        <v>104</v>
      </c>
      <c r="D24" s="11">
        <v>0.0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9">
        <v>23.0</v>
      </c>
      <c r="B25" s="17" t="s">
        <v>105</v>
      </c>
      <c r="C25" s="10" t="s">
        <v>106</v>
      </c>
      <c r="D25" s="11">
        <v>1.5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9">
        <v>24.0</v>
      </c>
      <c r="B26" s="17" t="s">
        <v>107</v>
      </c>
      <c r="C26" s="10" t="s">
        <v>108</v>
      </c>
      <c r="D26" s="11">
        <v>1.2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9">
        <v>25.0</v>
      </c>
      <c r="B27" s="17" t="s">
        <v>109</v>
      </c>
      <c r="C27" s="10" t="s">
        <v>110</v>
      </c>
      <c r="D27" s="11">
        <v>0.75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9">
        <v>26.0</v>
      </c>
      <c r="B28" s="17" t="s">
        <v>111</v>
      </c>
      <c r="C28" s="10" t="s">
        <v>112</v>
      </c>
      <c r="D28" s="11">
        <v>1.0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9">
        <v>27.0</v>
      </c>
      <c r="B29" s="17" t="s">
        <v>113</v>
      </c>
      <c r="C29" s="10" t="s">
        <v>114</v>
      </c>
      <c r="D29" s="11">
        <v>1.5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9">
        <v>28.0</v>
      </c>
      <c r="B30" s="17" t="s">
        <v>115</v>
      </c>
      <c r="C30" s="10" t="s">
        <v>116</v>
      </c>
      <c r="D30" s="11">
        <v>1.0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9">
        <v>29.0</v>
      </c>
      <c r="B31" s="17" t="s">
        <v>117</v>
      </c>
      <c r="C31" s="10" t="s">
        <v>118</v>
      </c>
      <c r="D31" s="21">
        <v>0.0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9">
        <v>30.0</v>
      </c>
      <c r="B32" s="17" t="s">
        <v>119</v>
      </c>
      <c r="C32" s="10" t="s">
        <v>120</v>
      </c>
      <c r="D32" s="11">
        <v>1.0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9">
        <v>31.0</v>
      </c>
      <c r="B33" s="17" t="s">
        <v>121</v>
      </c>
      <c r="C33" s="10" t="s">
        <v>122</v>
      </c>
      <c r="D33" s="11">
        <v>1.0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9">
        <v>32.0</v>
      </c>
      <c r="B34" s="17" t="s">
        <v>123</v>
      </c>
      <c r="C34" s="10" t="s">
        <v>124</v>
      </c>
      <c r="D34" s="11">
        <v>1.0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9">
        <v>33.0</v>
      </c>
      <c r="B35" s="17" t="s">
        <v>125</v>
      </c>
      <c r="C35" s="10" t="s">
        <v>126</v>
      </c>
      <c r="D35" s="11">
        <v>1.0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9">
        <v>34.0</v>
      </c>
      <c r="B36" s="17" t="s">
        <v>127</v>
      </c>
      <c r="C36" s="10" t="s">
        <v>128</v>
      </c>
      <c r="D36" s="11">
        <v>0.75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9">
        <v>35.0</v>
      </c>
      <c r="B37" s="17" t="s">
        <v>129</v>
      </c>
      <c r="C37" s="10" t="s">
        <v>130</v>
      </c>
      <c r="D37" s="11">
        <v>0.0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9">
        <v>36.0</v>
      </c>
      <c r="B38" s="17" t="s">
        <v>131</v>
      </c>
      <c r="C38" s="10" t="s">
        <v>132</v>
      </c>
      <c r="D38" s="11">
        <v>0.5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9">
        <v>37.0</v>
      </c>
      <c r="B39" s="17" t="s">
        <v>133</v>
      </c>
      <c r="C39" s="10" t="s">
        <v>134</v>
      </c>
      <c r="D39" s="11">
        <v>0.3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9">
        <v>38.0</v>
      </c>
      <c r="B40" s="17" t="s">
        <v>135</v>
      </c>
      <c r="C40" s="10" t="s">
        <v>136</v>
      </c>
      <c r="D40" s="11">
        <v>1.0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9">
        <v>39.0</v>
      </c>
      <c r="B41" s="17" t="s">
        <v>137</v>
      </c>
      <c r="C41" s="10" t="s">
        <v>138</v>
      </c>
      <c r="D41" s="11">
        <v>0.75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BF8F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4.0"/>
    <col customWidth="1" min="3" max="3" width="32.29"/>
    <col customWidth="1" min="4" max="4" width="21.29"/>
    <col customWidth="1" min="5" max="5" width="45.86"/>
    <col customWidth="1" min="6" max="6" width="9.29"/>
    <col customWidth="1" min="7" max="24" width="8.71"/>
  </cols>
  <sheetData>
    <row r="1" ht="12.75" customHeight="1">
      <c r="A1" s="22" t="s">
        <v>141</v>
      </c>
      <c r="B1" s="3"/>
      <c r="C1" s="3"/>
      <c r="D1" s="4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2.75" customHeight="1">
      <c r="A2" s="23" t="s">
        <v>10</v>
      </c>
      <c r="B2" s="23" t="s">
        <v>11</v>
      </c>
      <c r="C2" s="23" t="s">
        <v>12</v>
      </c>
      <c r="D2" s="23" t="s">
        <v>142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9">
        <v>1.0</v>
      </c>
      <c r="B3" s="10" t="s">
        <v>61</v>
      </c>
      <c r="C3" s="10" t="s">
        <v>62</v>
      </c>
      <c r="D3" s="1">
        <v>4.2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2.75" customHeight="1">
      <c r="A4" s="9">
        <v>2.0</v>
      </c>
      <c r="B4" s="10" t="s">
        <v>63</v>
      </c>
      <c r="C4" s="10" t="s">
        <v>64</v>
      </c>
      <c r="D4" s="1">
        <v>5.8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9">
        <v>3.0</v>
      </c>
      <c r="B5" s="10" t="s">
        <v>65</v>
      </c>
      <c r="C5" s="10" t="s">
        <v>66</v>
      </c>
      <c r="D5" s="1">
        <v>5.8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9">
        <v>4.0</v>
      </c>
      <c r="B6" s="10" t="s">
        <v>67</v>
      </c>
      <c r="C6" s="10" t="s">
        <v>68</v>
      </c>
      <c r="D6" s="1">
        <v>4.5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9">
        <v>5.0</v>
      </c>
      <c r="B7" s="10" t="s">
        <v>69</v>
      </c>
      <c r="C7" s="10" t="s">
        <v>70</v>
      </c>
      <c r="D7" s="1">
        <v>5.5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9">
        <v>6.0</v>
      </c>
      <c r="B8" s="10" t="s">
        <v>71</v>
      </c>
      <c r="C8" s="10" t="s">
        <v>72</v>
      </c>
      <c r="D8" s="1">
        <v>7.5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9">
        <v>7.0</v>
      </c>
      <c r="B9" s="10" t="s">
        <v>73</v>
      </c>
      <c r="C9" s="10" t="s">
        <v>74</v>
      </c>
      <c r="D9" s="1">
        <v>5.3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9">
        <v>8.0</v>
      </c>
      <c r="B10" s="10" t="s">
        <v>75</v>
      </c>
      <c r="C10" s="10" t="s">
        <v>76</v>
      </c>
      <c r="D10" s="1">
        <v>7.7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9">
        <v>9.0</v>
      </c>
      <c r="B11" s="10" t="s">
        <v>77</v>
      </c>
      <c r="C11" s="10" t="s">
        <v>78</v>
      </c>
      <c r="D11" s="1">
        <v>-3.0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9">
        <v>10.0</v>
      </c>
      <c r="B12" s="10" t="s">
        <v>79</v>
      </c>
      <c r="C12" s="10" t="s">
        <v>80</v>
      </c>
      <c r="D12" s="1">
        <v>6.8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9">
        <v>11.0</v>
      </c>
      <c r="B13" s="10" t="s">
        <v>81</v>
      </c>
      <c r="C13" s="10" t="s">
        <v>82</v>
      </c>
      <c r="D13" s="1">
        <v>6.3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9">
        <v>12.0</v>
      </c>
      <c r="B14" s="10" t="s">
        <v>83</v>
      </c>
      <c r="C14" s="10" t="s">
        <v>84</v>
      </c>
      <c r="D14" s="1">
        <v>8.3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9">
        <v>13.0</v>
      </c>
      <c r="B15" s="10" t="s">
        <v>85</v>
      </c>
      <c r="C15" s="10" t="s">
        <v>86</v>
      </c>
      <c r="D15" s="1">
        <v>5.5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9">
        <v>14.0</v>
      </c>
      <c r="B16" s="10" t="s">
        <v>87</v>
      </c>
      <c r="C16" s="10" t="s">
        <v>88</v>
      </c>
      <c r="D16" s="1">
        <v>6.0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9">
        <v>15.0</v>
      </c>
      <c r="B17" s="10" t="s">
        <v>89</v>
      </c>
      <c r="C17" s="10" t="s">
        <v>90</v>
      </c>
      <c r="D17" s="1">
        <v>-3.0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9">
        <v>16.0</v>
      </c>
      <c r="B18" s="10" t="s">
        <v>91</v>
      </c>
      <c r="C18" s="10" t="s">
        <v>92</v>
      </c>
      <c r="D18" s="1">
        <v>5.7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9">
        <v>17.0</v>
      </c>
      <c r="B19" s="10" t="s">
        <v>93</v>
      </c>
      <c r="C19" s="10" t="s">
        <v>94</v>
      </c>
      <c r="D19" s="1">
        <v>7.0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9">
        <v>18.0</v>
      </c>
      <c r="B20" s="10" t="s">
        <v>95</v>
      </c>
      <c r="C20" s="10" t="s">
        <v>96</v>
      </c>
      <c r="D20" s="1">
        <v>6.5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9">
        <v>19.0</v>
      </c>
      <c r="B21" s="10" t="s">
        <v>97</v>
      </c>
      <c r="C21" s="10" t="s">
        <v>98</v>
      </c>
      <c r="D21" s="1">
        <v>-3.0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9">
        <v>20.0</v>
      </c>
      <c r="B22" s="10" t="s">
        <v>99</v>
      </c>
      <c r="C22" s="10" t="s">
        <v>100</v>
      </c>
      <c r="D22" s="1">
        <v>6.5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9">
        <v>21.0</v>
      </c>
      <c r="B23" s="10" t="s">
        <v>101</v>
      </c>
      <c r="C23" s="10" t="s">
        <v>102</v>
      </c>
      <c r="D23" s="1">
        <v>6.7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9">
        <v>22.0</v>
      </c>
      <c r="B24" s="10" t="s">
        <v>103</v>
      </c>
      <c r="C24" s="10" t="s">
        <v>104</v>
      </c>
      <c r="D24" s="1">
        <v>4.5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9">
        <v>23.0</v>
      </c>
      <c r="B25" s="10" t="s">
        <v>105</v>
      </c>
      <c r="C25" s="10" t="s">
        <v>106</v>
      </c>
      <c r="D25" s="1">
        <v>7.5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9">
        <v>24.0</v>
      </c>
      <c r="B26" s="10" t="s">
        <v>107</v>
      </c>
      <c r="C26" s="10" t="s">
        <v>108</v>
      </c>
      <c r="D26" s="1">
        <v>8.8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9">
        <v>25.0</v>
      </c>
      <c r="B27" s="10" t="s">
        <v>109</v>
      </c>
      <c r="C27" s="10" t="s">
        <v>110</v>
      </c>
      <c r="D27" s="1">
        <v>6.8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9">
        <v>26.0</v>
      </c>
      <c r="B28" s="10" t="s">
        <v>111</v>
      </c>
      <c r="C28" s="10" t="s">
        <v>112</v>
      </c>
      <c r="D28" s="1">
        <v>7.8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9">
        <v>27.0</v>
      </c>
      <c r="B29" s="10" t="s">
        <v>113</v>
      </c>
      <c r="C29" s="10" t="s">
        <v>114</v>
      </c>
      <c r="D29" s="1">
        <v>8.8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9">
        <v>28.0</v>
      </c>
      <c r="B30" s="10" t="s">
        <v>115</v>
      </c>
      <c r="C30" s="10" t="s">
        <v>116</v>
      </c>
      <c r="D30" s="1">
        <v>7.8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9">
        <v>29.0</v>
      </c>
      <c r="B31" s="10" t="s">
        <v>117</v>
      </c>
      <c r="C31" s="10" t="s">
        <v>118</v>
      </c>
      <c r="D31" s="1">
        <v>7.7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9">
        <v>30.0</v>
      </c>
      <c r="B32" s="10" t="s">
        <v>119</v>
      </c>
      <c r="C32" s="10" t="s">
        <v>120</v>
      </c>
      <c r="D32" s="1">
        <v>-3.0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9">
        <v>31.0</v>
      </c>
      <c r="B33" s="10" t="s">
        <v>121</v>
      </c>
      <c r="C33" s="10" t="s">
        <v>122</v>
      </c>
      <c r="D33" s="1">
        <v>9.2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9">
        <v>32.0</v>
      </c>
      <c r="B34" s="10" t="s">
        <v>123</v>
      </c>
      <c r="C34" s="10" t="s">
        <v>124</v>
      </c>
      <c r="D34" s="1">
        <v>7.5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9">
        <v>33.0</v>
      </c>
      <c r="B35" s="10" t="s">
        <v>125</v>
      </c>
      <c r="C35" s="10" t="s">
        <v>126</v>
      </c>
      <c r="D35" s="1">
        <v>-3.0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9">
        <v>34.0</v>
      </c>
      <c r="B36" s="10" t="s">
        <v>127</v>
      </c>
      <c r="C36" s="10" t="s">
        <v>128</v>
      </c>
      <c r="D36" s="1">
        <v>8.3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9">
        <v>35.0</v>
      </c>
      <c r="B37" s="10" t="s">
        <v>129</v>
      </c>
      <c r="C37" s="10" t="s">
        <v>130</v>
      </c>
      <c r="D37" s="1">
        <v>7.5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9">
        <v>36.0</v>
      </c>
      <c r="B38" s="10" t="s">
        <v>131</v>
      </c>
      <c r="C38" s="10" t="s">
        <v>132</v>
      </c>
      <c r="D38" s="1">
        <v>5.5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9">
        <v>37.0</v>
      </c>
      <c r="B39" s="10" t="s">
        <v>133</v>
      </c>
      <c r="C39" s="10" t="s">
        <v>134</v>
      </c>
      <c r="D39" s="1">
        <v>6.7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9">
        <v>38.0</v>
      </c>
      <c r="B40" s="10" t="s">
        <v>135</v>
      </c>
      <c r="C40" s="10" t="s">
        <v>136</v>
      </c>
      <c r="D40" s="1">
        <v>5.5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9">
        <v>39.0</v>
      </c>
      <c r="B41" s="10" t="s">
        <v>137</v>
      </c>
      <c r="C41" s="10" t="s">
        <v>138</v>
      </c>
      <c r="D41" s="1">
        <v>3.2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0.71"/>
    <col customWidth="1" min="3" max="3" width="25.14"/>
    <col customWidth="1" min="4" max="4" width="6.29"/>
    <col customWidth="1" min="5" max="5" width="39.14"/>
    <col customWidth="1" min="6" max="6" width="19.14"/>
    <col customWidth="1" min="7" max="7" width="6.29"/>
    <col customWidth="1" min="8" max="8" width="6.0"/>
    <col customWidth="1" min="9" max="9" width="7.57"/>
    <col customWidth="1" min="10" max="10" width="9.86"/>
    <col customWidth="1" min="11" max="11" width="83.0"/>
    <col customWidth="1" min="12" max="12" width="39.86"/>
    <col customWidth="1" min="13" max="15" width="14.71"/>
    <col customWidth="1" min="16" max="16" width="17.29"/>
    <col customWidth="1" min="17" max="17" width="12.0"/>
    <col customWidth="1" min="19" max="19" width="33.71"/>
    <col customWidth="1" min="20" max="20" width="13.43"/>
    <col customWidth="1" min="21" max="21" width="11.14"/>
    <col customWidth="1" min="22" max="23" width="9.29"/>
    <col customWidth="1" min="24" max="26" width="8.71"/>
  </cols>
  <sheetData>
    <row r="1" ht="12.75" customHeight="1">
      <c r="A1" s="24" t="s">
        <v>143</v>
      </c>
      <c r="B1" s="3"/>
      <c r="C1" s="4"/>
      <c r="D1" s="5"/>
      <c r="E1" s="25" t="s">
        <v>144</v>
      </c>
      <c r="F1" s="4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2.75" customHeight="1">
      <c r="A2" s="26" t="s">
        <v>19</v>
      </c>
      <c r="B2" s="26" t="s">
        <v>20</v>
      </c>
      <c r="C2" s="26" t="s">
        <v>145</v>
      </c>
      <c r="D2" s="5"/>
      <c r="E2" s="27" t="s">
        <v>146</v>
      </c>
      <c r="F2" s="27" t="s">
        <v>147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28">
        <v>0.0</v>
      </c>
      <c r="B3" s="29" t="s">
        <v>148</v>
      </c>
      <c r="C3" s="28">
        <v>0.0</v>
      </c>
      <c r="D3" s="5"/>
      <c r="E3" s="30">
        <v>0.0</v>
      </c>
      <c r="F3" s="31">
        <v>1.0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2.75" customHeight="1">
      <c r="A4" s="28">
        <v>4.0</v>
      </c>
      <c r="B4" s="29" t="s">
        <v>149</v>
      </c>
      <c r="C4" s="28">
        <v>1.0</v>
      </c>
      <c r="D4" s="5"/>
      <c r="E4" s="30">
        <v>1.0</v>
      </c>
      <c r="F4" s="31">
        <v>0.5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28">
        <v>5.0</v>
      </c>
      <c r="B5" s="29" t="s">
        <v>150</v>
      </c>
      <c r="C5" s="28">
        <v>1.5</v>
      </c>
      <c r="D5" s="5"/>
      <c r="E5" s="30">
        <v>2.0</v>
      </c>
      <c r="F5" s="31">
        <v>0.25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28">
        <v>5.5</v>
      </c>
      <c r="B6" s="29" t="s">
        <v>151</v>
      </c>
      <c r="C6" s="28">
        <v>2.0</v>
      </c>
      <c r="D6" s="5"/>
      <c r="E6" s="5"/>
      <c r="F6" s="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28">
        <v>6.5</v>
      </c>
      <c r="B7" s="29" t="s">
        <v>152</v>
      </c>
      <c r="C7" s="28">
        <v>2.5</v>
      </c>
      <c r="D7" s="5"/>
      <c r="E7" s="5"/>
      <c r="F7" s="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28">
        <v>7.0</v>
      </c>
      <c r="B8" s="29" t="s">
        <v>153</v>
      </c>
      <c r="C8" s="28">
        <v>3.0</v>
      </c>
      <c r="D8" s="5"/>
      <c r="E8" s="5"/>
      <c r="F8" s="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28">
        <v>8.0</v>
      </c>
      <c r="B9" s="29" t="s">
        <v>154</v>
      </c>
      <c r="C9" s="28">
        <v>3.5</v>
      </c>
      <c r="D9" s="5"/>
      <c r="E9" s="5"/>
      <c r="F9" s="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28">
        <v>9.0</v>
      </c>
      <c r="B10" s="29" t="s">
        <v>155</v>
      </c>
      <c r="C10" s="28">
        <v>4.0</v>
      </c>
      <c r="D10" s="5"/>
      <c r="E10" s="5"/>
      <c r="F10" s="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32"/>
      <c r="B11" s="32"/>
      <c r="C11" s="32"/>
      <c r="D11" s="5"/>
      <c r="E11" s="5"/>
      <c r="F11" s="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33" t="s">
        <v>156</v>
      </c>
      <c r="B12" s="3"/>
      <c r="C12" s="4"/>
      <c r="D12" s="5"/>
      <c r="E12" s="34" t="s">
        <v>157</v>
      </c>
      <c r="F12" s="4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26" t="s">
        <v>10</v>
      </c>
      <c r="B13" s="26" t="s">
        <v>11</v>
      </c>
      <c r="C13" s="26" t="s">
        <v>12</v>
      </c>
      <c r="D13" s="5"/>
      <c r="E13" s="26" t="s">
        <v>20</v>
      </c>
      <c r="F13" s="26" t="s">
        <v>158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2.75" customHeight="1">
      <c r="A14" s="9">
        <v>1.0</v>
      </c>
      <c r="B14" s="10" t="s">
        <v>87</v>
      </c>
      <c r="C14" s="10" t="s">
        <v>88</v>
      </c>
      <c r="D14" s="5"/>
      <c r="E14" s="35" t="s">
        <v>155</v>
      </c>
      <c r="F14" s="28">
        <f>COUNTIF('Tổng hợp điểm'!$A$6:$K$45,E14)</f>
        <v>1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2.75" customHeight="1">
      <c r="A15" s="9">
        <v>2.0</v>
      </c>
      <c r="B15" s="10" t="s">
        <v>67</v>
      </c>
      <c r="C15" s="10" t="s">
        <v>68</v>
      </c>
      <c r="D15" s="5"/>
      <c r="E15" s="35" t="s">
        <v>154</v>
      </c>
      <c r="F15" s="28">
        <f>COUNTIF('Tổng hợp điểm'!$A$6:$K$45,E15)</f>
        <v>5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2.75" customHeight="1">
      <c r="A16" s="9">
        <v>3.0</v>
      </c>
      <c r="B16" s="10" t="s">
        <v>111</v>
      </c>
      <c r="C16" s="10" t="s">
        <v>112</v>
      </c>
      <c r="D16" s="5"/>
      <c r="E16" s="35" t="s">
        <v>153</v>
      </c>
      <c r="F16" s="28">
        <f>COUNTIF('Tổng hợp điểm'!$A$6:$K$45,E16)</f>
        <v>7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9">
        <v>4.0</v>
      </c>
      <c r="B17" s="10" t="s">
        <v>99</v>
      </c>
      <c r="C17" s="10" t="s">
        <v>100</v>
      </c>
      <c r="D17" s="5"/>
      <c r="E17" s="35" t="s">
        <v>152</v>
      </c>
      <c r="F17" s="28">
        <f>COUNTIF('Tổng hợp điểm'!$A$6:$K$45,E17)</f>
        <v>6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9">
        <v>5.0</v>
      </c>
      <c r="B18" s="10" t="s">
        <v>109</v>
      </c>
      <c r="C18" s="10" t="s">
        <v>110</v>
      </c>
      <c r="D18" s="5"/>
      <c r="E18" s="35" t="s">
        <v>151</v>
      </c>
      <c r="F18" s="28">
        <f>COUNTIF('Tổng hợp điểm'!$A$6:$K$45,E18)</f>
        <v>9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9">
        <v>6.0</v>
      </c>
      <c r="B19" s="10" t="s">
        <v>107</v>
      </c>
      <c r="C19" s="10" t="s">
        <v>108</v>
      </c>
      <c r="D19" s="5"/>
      <c r="E19" s="35" t="s">
        <v>150</v>
      </c>
      <c r="F19" s="28">
        <f>COUNTIF('Tổng hợp điểm'!$A$6:$K$45,E19)</f>
        <v>1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9">
        <v>7.0</v>
      </c>
      <c r="B20" s="10" t="s">
        <v>133</v>
      </c>
      <c r="C20" s="10" t="s">
        <v>134</v>
      </c>
      <c r="D20" s="5"/>
      <c r="E20" s="35" t="s">
        <v>149</v>
      </c>
      <c r="F20" s="28">
        <f>COUNTIF('Tổng hợp điểm'!$A$6:$K$45,E20)</f>
        <v>1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9">
        <v>8.0</v>
      </c>
      <c r="B21" s="10" t="s">
        <v>79</v>
      </c>
      <c r="C21" s="10" t="s">
        <v>80</v>
      </c>
      <c r="D21" s="5"/>
      <c r="E21" s="35" t="s">
        <v>148</v>
      </c>
      <c r="F21" s="28">
        <f>COUNTIF('Tổng hợp điểm'!$A$6:$K$45,E21)</f>
        <v>9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9">
        <v>9.0</v>
      </c>
      <c r="B22" s="10" t="s">
        <v>117</v>
      </c>
      <c r="C22" s="10" t="s">
        <v>118</v>
      </c>
      <c r="D22" s="5"/>
      <c r="F22" s="28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9">
        <v>10.0</v>
      </c>
      <c r="B23" s="10" t="s">
        <v>105</v>
      </c>
      <c r="C23" s="10" t="s">
        <v>106</v>
      </c>
      <c r="D23" s="5"/>
      <c r="E23" s="36" t="s">
        <v>159</v>
      </c>
      <c r="F23" s="4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9">
        <v>11.0</v>
      </c>
      <c r="B24" s="10" t="s">
        <v>73</v>
      </c>
      <c r="C24" s="10" t="s">
        <v>74</v>
      </c>
      <c r="D24" s="5"/>
      <c r="E24" s="37" t="s">
        <v>160</v>
      </c>
      <c r="F24" s="38">
        <f>COUNTIF('Tổng hợp điểm'!G7:G45,0)+COUNTIF('Tổng hợp điểm'!H7:H45,-3)</f>
        <v>9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9">
        <v>12.0</v>
      </c>
      <c r="B25" s="10" t="s">
        <v>103</v>
      </c>
      <c r="C25" s="10" t="s">
        <v>104</v>
      </c>
      <c r="D25" s="5"/>
      <c r="E25" s="39"/>
      <c r="F25" s="39"/>
      <c r="G25" s="15"/>
      <c r="H25" s="15"/>
      <c r="I25" s="15"/>
      <c r="J25" s="15"/>
      <c r="K25" s="40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9">
        <v>13.0</v>
      </c>
      <c r="B26" s="10" t="s">
        <v>69</v>
      </c>
      <c r="C26" s="10" t="s">
        <v>70</v>
      </c>
      <c r="D26" s="5"/>
      <c r="E26" s="41"/>
      <c r="F26" s="41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9">
        <v>14.0</v>
      </c>
      <c r="B27" s="10" t="s">
        <v>63</v>
      </c>
      <c r="C27" s="10" t="s">
        <v>64</v>
      </c>
      <c r="D27" s="5"/>
      <c r="E27" s="42" t="s">
        <v>161</v>
      </c>
      <c r="F27" s="43">
        <f>COUNTIFS('Tổng hợp điểm'!J7:J45,"&gt;=7",'Tổng hợp điểm'!K7:K45,"B+")+countifs('Tổng hợp điểm'!J7:J45,"&gt;=7",'Tổng hợp điểm'!K7:K45,"A")</f>
        <v>6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9">
        <v>15.0</v>
      </c>
      <c r="B28" s="10" t="s">
        <v>101</v>
      </c>
      <c r="C28" s="10" t="s">
        <v>102</v>
      </c>
      <c r="D28" s="5"/>
      <c r="E28" s="39"/>
      <c r="F28" s="44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9">
        <v>16.0</v>
      </c>
      <c r="B29" s="10" t="s">
        <v>113</v>
      </c>
      <c r="C29" s="10" t="s">
        <v>114</v>
      </c>
      <c r="D29" s="5"/>
      <c r="E29" s="41"/>
      <c r="F29" s="4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9">
        <v>17.0</v>
      </c>
      <c r="B30" s="10" t="s">
        <v>131</v>
      </c>
      <c r="C30" s="10" t="s">
        <v>132</v>
      </c>
      <c r="D30" s="5"/>
      <c r="E30" s="5"/>
      <c r="F30" s="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9">
        <v>18.0</v>
      </c>
      <c r="B31" s="10" t="s">
        <v>91</v>
      </c>
      <c r="C31" s="10" t="s">
        <v>92</v>
      </c>
      <c r="D31" s="5"/>
      <c r="E31" s="5"/>
      <c r="F31" s="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9">
        <v>19.0</v>
      </c>
      <c r="B32" s="10" t="s">
        <v>89</v>
      </c>
      <c r="C32" s="10" t="s">
        <v>90</v>
      </c>
      <c r="D32" s="5"/>
      <c r="E32" s="5"/>
      <c r="F32" s="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9">
        <v>20.0</v>
      </c>
      <c r="B33" s="10" t="s">
        <v>127</v>
      </c>
      <c r="C33" s="10" t="s">
        <v>128</v>
      </c>
      <c r="D33" s="5"/>
      <c r="E33" s="5"/>
      <c r="F33" s="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9">
        <v>21.0</v>
      </c>
      <c r="B34" s="10" t="s">
        <v>93</v>
      </c>
      <c r="C34" s="10" t="s">
        <v>94</v>
      </c>
      <c r="D34" s="5"/>
      <c r="E34" s="5"/>
      <c r="F34" s="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9">
        <v>22.0</v>
      </c>
      <c r="B35" s="10" t="s">
        <v>95</v>
      </c>
      <c r="C35" s="10" t="s">
        <v>96</v>
      </c>
      <c r="D35" s="5"/>
      <c r="E35" s="5"/>
      <c r="F35" s="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9">
        <v>23.0</v>
      </c>
      <c r="B36" s="10" t="s">
        <v>119</v>
      </c>
      <c r="C36" s="10" t="s">
        <v>120</v>
      </c>
      <c r="D36" s="5"/>
      <c r="E36" s="5"/>
      <c r="F36" s="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9">
        <v>24.0</v>
      </c>
      <c r="B37" s="10" t="s">
        <v>65</v>
      </c>
      <c r="C37" s="10" t="s">
        <v>66</v>
      </c>
      <c r="D37" s="5"/>
      <c r="E37" s="5"/>
      <c r="F37" s="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9">
        <v>25.0</v>
      </c>
      <c r="B38" s="10" t="s">
        <v>135</v>
      </c>
      <c r="C38" s="10" t="s">
        <v>136</v>
      </c>
      <c r="D38" s="5"/>
      <c r="E38" s="5"/>
      <c r="U38" s="15"/>
      <c r="V38" s="15"/>
      <c r="W38" s="15"/>
      <c r="X38" s="15"/>
      <c r="Y38" s="15"/>
      <c r="Z38" s="15"/>
    </row>
    <row r="39" ht="15.75" customHeight="1">
      <c r="A39" s="9">
        <v>26.0</v>
      </c>
      <c r="B39" s="10" t="s">
        <v>61</v>
      </c>
      <c r="C39" s="10" t="s">
        <v>62</v>
      </c>
      <c r="D39" s="5"/>
      <c r="E39" s="5"/>
      <c r="U39" s="40"/>
      <c r="V39" s="40"/>
      <c r="W39" s="40"/>
      <c r="X39" s="15"/>
      <c r="Y39" s="15"/>
      <c r="Z39" s="15"/>
    </row>
    <row r="40" ht="12.75" customHeight="1">
      <c r="A40" s="9">
        <v>27.0</v>
      </c>
      <c r="B40" s="10" t="s">
        <v>125</v>
      </c>
      <c r="C40" s="10" t="s">
        <v>126</v>
      </c>
      <c r="D40" s="5"/>
      <c r="E40" s="5"/>
      <c r="U40" s="15"/>
      <c r="V40" s="15"/>
      <c r="W40" s="15"/>
      <c r="X40" s="15"/>
      <c r="Y40" s="15"/>
      <c r="Z40" s="15"/>
    </row>
    <row r="41" ht="12.75" customHeight="1">
      <c r="A41" s="9">
        <v>28.0</v>
      </c>
      <c r="B41" s="10" t="s">
        <v>83</v>
      </c>
      <c r="C41" s="10" t="s">
        <v>84</v>
      </c>
      <c r="D41" s="5"/>
      <c r="E41" s="5"/>
      <c r="U41" s="15"/>
      <c r="V41" s="15"/>
      <c r="W41" s="15"/>
      <c r="X41" s="15"/>
      <c r="Y41" s="15"/>
      <c r="Z41" s="15"/>
    </row>
    <row r="42" ht="12.75" customHeight="1">
      <c r="A42" s="9">
        <v>29.0</v>
      </c>
      <c r="B42" s="10" t="s">
        <v>115</v>
      </c>
      <c r="C42" s="10" t="s">
        <v>116</v>
      </c>
      <c r="D42" s="5"/>
      <c r="E42" s="5"/>
      <c r="U42" s="15"/>
      <c r="V42" s="15"/>
      <c r="W42" s="15"/>
      <c r="X42" s="15"/>
      <c r="Y42" s="15"/>
      <c r="Z42" s="15"/>
    </row>
    <row r="43" ht="12.75" customHeight="1">
      <c r="A43" s="9">
        <v>30.0</v>
      </c>
      <c r="B43" s="10" t="s">
        <v>71</v>
      </c>
      <c r="C43" s="10" t="s">
        <v>72</v>
      </c>
      <c r="D43" s="5"/>
      <c r="E43" s="5"/>
      <c r="U43" s="15"/>
      <c r="V43" s="15"/>
      <c r="W43" s="15"/>
      <c r="X43" s="15"/>
      <c r="Y43" s="15"/>
      <c r="Z43" s="15"/>
    </row>
    <row r="44" ht="12.75" customHeight="1">
      <c r="A44" s="9">
        <v>31.0</v>
      </c>
      <c r="B44" s="10" t="s">
        <v>75</v>
      </c>
      <c r="C44" s="10" t="s">
        <v>76</v>
      </c>
      <c r="D44" s="5"/>
      <c r="E44" s="5"/>
      <c r="U44" s="15"/>
      <c r="V44" s="15"/>
      <c r="W44" s="15"/>
      <c r="X44" s="15"/>
      <c r="Y44" s="15"/>
      <c r="Z44" s="15"/>
    </row>
    <row r="45" ht="12.75" customHeight="1">
      <c r="A45" s="9">
        <v>32.0</v>
      </c>
      <c r="B45" s="10" t="s">
        <v>97</v>
      </c>
      <c r="C45" s="10" t="s">
        <v>98</v>
      </c>
      <c r="D45" s="5"/>
      <c r="E45" s="5"/>
      <c r="U45" s="15"/>
      <c r="V45" s="15"/>
      <c r="W45" s="15"/>
      <c r="X45" s="15"/>
      <c r="Y45" s="15"/>
      <c r="Z45" s="15"/>
    </row>
    <row r="46" ht="12.75" customHeight="1">
      <c r="A46" s="9">
        <v>33.0</v>
      </c>
      <c r="B46" s="10" t="s">
        <v>121</v>
      </c>
      <c r="C46" s="10" t="s">
        <v>122</v>
      </c>
      <c r="D46" s="5"/>
      <c r="E46" s="5"/>
      <c r="U46" s="15"/>
      <c r="V46" s="15"/>
      <c r="W46" s="15"/>
      <c r="X46" s="15"/>
      <c r="Y46" s="15"/>
      <c r="Z46" s="15"/>
    </row>
    <row r="47" ht="12.75" customHeight="1">
      <c r="A47" s="9">
        <v>34.0</v>
      </c>
      <c r="B47" s="10" t="s">
        <v>77</v>
      </c>
      <c r="C47" s="10" t="s">
        <v>78</v>
      </c>
      <c r="D47" s="5"/>
      <c r="E47" s="5"/>
      <c r="U47" s="15"/>
      <c r="V47" s="15"/>
      <c r="W47" s="15"/>
      <c r="X47" s="15"/>
      <c r="Y47" s="15"/>
      <c r="Z47" s="15"/>
    </row>
    <row r="48" ht="12.75" customHeight="1">
      <c r="A48" s="9">
        <v>35.0</v>
      </c>
      <c r="B48" s="10" t="s">
        <v>81</v>
      </c>
      <c r="C48" s="10" t="s">
        <v>82</v>
      </c>
      <c r="D48" s="5"/>
      <c r="E48" s="5"/>
      <c r="U48" s="15"/>
      <c r="V48" s="15"/>
      <c r="W48" s="15"/>
      <c r="X48" s="15"/>
      <c r="Y48" s="15"/>
      <c r="Z48" s="15"/>
    </row>
    <row r="49" ht="12.75" customHeight="1">
      <c r="A49" s="9">
        <v>36.0</v>
      </c>
      <c r="B49" s="10" t="s">
        <v>129</v>
      </c>
      <c r="C49" s="10" t="s">
        <v>130</v>
      </c>
      <c r="D49" s="5"/>
      <c r="E49" s="5"/>
      <c r="U49" s="15"/>
      <c r="V49" s="15"/>
      <c r="W49" s="15"/>
      <c r="X49" s="15"/>
      <c r="Y49" s="15"/>
      <c r="Z49" s="15"/>
    </row>
    <row r="50" ht="12.75" customHeight="1">
      <c r="A50" s="9">
        <v>37.0</v>
      </c>
      <c r="B50" s="10" t="s">
        <v>123</v>
      </c>
      <c r="C50" s="10" t="s">
        <v>124</v>
      </c>
      <c r="D50" s="5"/>
      <c r="E50" s="5"/>
      <c r="U50" s="15"/>
      <c r="V50" s="15"/>
      <c r="W50" s="15"/>
      <c r="X50" s="15"/>
      <c r="Y50" s="15"/>
      <c r="Z50" s="15"/>
    </row>
    <row r="51" ht="12.75" customHeight="1">
      <c r="A51" s="9">
        <v>38.0</v>
      </c>
      <c r="B51" s="10" t="s">
        <v>137</v>
      </c>
      <c r="C51" s="10" t="s">
        <v>138</v>
      </c>
      <c r="D51" s="5"/>
      <c r="E51" s="5"/>
      <c r="U51" s="15"/>
      <c r="V51" s="15"/>
      <c r="W51" s="15"/>
      <c r="X51" s="15"/>
      <c r="Y51" s="15"/>
      <c r="Z51" s="15"/>
    </row>
    <row r="52" ht="12.75" customHeight="1">
      <c r="A52" s="9">
        <v>39.0</v>
      </c>
      <c r="B52" s="10" t="s">
        <v>85</v>
      </c>
      <c r="C52" s="10" t="s">
        <v>86</v>
      </c>
      <c r="D52" s="5"/>
      <c r="E52" s="5"/>
      <c r="U52" s="15"/>
      <c r="V52" s="15"/>
      <c r="W52" s="15"/>
      <c r="X52" s="15"/>
      <c r="Y52" s="15"/>
      <c r="Z52" s="15"/>
    </row>
    <row r="53" ht="12.75" customHeight="1">
      <c r="A53" s="15"/>
      <c r="B53" s="15"/>
      <c r="C53" s="15"/>
      <c r="D53" s="15"/>
      <c r="E53" s="15"/>
      <c r="U53" s="15"/>
      <c r="V53" s="15"/>
      <c r="W53" s="15"/>
      <c r="X53" s="15"/>
      <c r="Y53" s="15"/>
      <c r="Z53" s="15"/>
    </row>
    <row r="54" ht="12.75" customHeight="1">
      <c r="A54" s="15"/>
      <c r="B54" s="15"/>
      <c r="C54" s="15"/>
      <c r="D54" s="15"/>
      <c r="E54" s="15"/>
      <c r="U54" s="15"/>
      <c r="V54" s="15"/>
      <c r="W54" s="15"/>
      <c r="X54" s="15"/>
      <c r="Y54" s="15"/>
      <c r="Z54" s="15"/>
    </row>
    <row r="55" ht="12.75" customHeight="1">
      <c r="A55" s="15"/>
      <c r="B55" s="15"/>
      <c r="C55" s="15"/>
      <c r="D55" s="15"/>
      <c r="E55" s="15"/>
      <c r="U55" s="15"/>
      <c r="V55" s="15"/>
      <c r="W55" s="15"/>
      <c r="X55" s="15"/>
      <c r="Y55" s="15"/>
      <c r="Z55" s="15"/>
    </row>
    <row r="56" ht="12.75" customHeight="1">
      <c r="A56" s="15"/>
      <c r="B56" s="15"/>
      <c r="C56" s="15"/>
      <c r="D56" s="15"/>
      <c r="E56" s="15"/>
      <c r="U56" s="15"/>
      <c r="V56" s="15"/>
      <c r="W56" s="15"/>
      <c r="X56" s="15"/>
      <c r="Y56" s="15"/>
      <c r="Z56" s="15"/>
    </row>
    <row r="57" ht="12.75" customHeight="1">
      <c r="A57" s="15"/>
      <c r="B57" s="15"/>
      <c r="C57" s="15"/>
      <c r="D57" s="15"/>
      <c r="E57" s="15"/>
      <c r="U57" s="15"/>
      <c r="V57" s="15"/>
      <c r="W57" s="15"/>
      <c r="X57" s="15"/>
      <c r="Y57" s="15"/>
      <c r="Z57" s="15"/>
    </row>
    <row r="58" ht="12.75" customHeight="1">
      <c r="A58" s="15"/>
      <c r="B58" s="15"/>
      <c r="C58" s="15"/>
      <c r="D58" s="15"/>
      <c r="E58" s="15"/>
      <c r="U58" s="15"/>
      <c r="V58" s="15"/>
      <c r="W58" s="15"/>
      <c r="X58" s="15"/>
      <c r="Y58" s="15"/>
      <c r="Z58" s="15"/>
    </row>
    <row r="59" ht="12.75" customHeight="1">
      <c r="A59" s="15"/>
      <c r="B59" s="15"/>
      <c r="C59" s="15"/>
      <c r="D59" s="15"/>
      <c r="E59" s="15"/>
      <c r="U59" s="15"/>
      <c r="V59" s="15"/>
      <c r="W59" s="15"/>
      <c r="X59" s="15"/>
      <c r="Y59" s="15"/>
      <c r="Z59" s="15"/>
    </row>
    <row r="60" ht="12.75" customHeight="1">
      <c r="A60" s="15"/>
      <c r="B60" s="15"/>
      <c r="C60" s="15"/>
      <c r="D60" s="15"/>
      <c r="E60" s="15"/>
      <c r="U60" s="15"/>
      <c r="V60" s="15"/>
      <c r="W60" s="15"/>
      <c r="X60" s="15"/>
      <c r="Y60" s="15"/>
      <c r="Z60" s="15"/>
    </row>
    <row r="61" ht="12.75" customHeight="1">
      <c r="A61" s="15"/>
      <c r="B61" s="15"/>
      <c r="C61" s="15"/>
      <c r="D61" s="15"/>
      <c r="E61" s="15"/>
      <c r="U61" s="15"/>
      <c r="V61" s="15"/>
      <c r="W61" s="15"/>
      <c r="X61" s="15"/>
      <c r="Y61" s="15"/>
      <c r="Z61" s="15"/>
    </row>
    <row r="62" ht="12.75" customHeight="1">
      <c r="A62" s="15"/>
      <c r="B62" s="15"/>
      <c r="C62" s="15"/>
      <c r="D62" s="15"/>
      <c r="E62" s="15"/>
      <c r="U62" s="15"/>
      <c r="V62" s="15"/>
      <c r="W62" s="15"/>
      <c r="X62" s="15"/>
      <c r="Y62" s="15"/>
      <c r="Z62" s="15"/>
    </row>
    <row r="63" ht="12.75" customHeight="1">
      <c r="A63" s="15"/>
      <c r="B63" s="15"/>
      <c r="C63" s="15"/>
      <c r="D63" s="15"/>
      <c r="E63" s="15"/>
      <c r="U63" s="15"/>
      <c r="V63" s="15"/>
      <c r="W63" s="15"/>
      <c r="X63" s="15"/>
      <c r="Y63" s="15"/>
      <c r="Z63" s="15"/>
    </row>
    <row r="64" ht="12.75" customHeight="1">
      <c r="A64" s="15"/>
      <c r="B64" s="15"/>
      <c r="C64" s="15"/>
      <c r="D64" s="15"/>
      <c r="E64" s="15"/>
      <c r="U64" s="15"/>
      <c r="V64" s="15"/>
      <c r="W64" s="15"/>
      <c r="X64" s="15"/>
      <c r="Y64" s="15"/>
      <c r="Z64" s="15"/>
    </row>
    <row r="65" ht="12.75" customHeight="1">
      <c r="A65" s="15"/>
      <c r="B65" s="15"/>
      <c r="C65" s="15"/>
      <c r="D65" s="15"/>
      <c r="E65" s="15"/>
      <c r="U65" s="15"/>
      <c r="V65" s="15"/>
      <c r="W65" s="15"/>
      <c r="X65" s="15"/>
      <c r="Y65" s="15"/>
      <c r="Z65" s="15"/>
    </row>
    <row r="66" ht="12.75" customHeight="1">
      <c r="A66" s="15"/>
      <c r="B66" s="15"/>
      <c r="C66" s="15"/>
      <c r="D66" s="15"/>
      <c r="E66" s="15"/>
      <c r="U66" s="15"/>
      <c r="V66" s="15"/>
      <c r="W66" s="15"/>
      <c r="X66" s="15"/>
      <c r="Y66" s="15"/>
      <c r="Z66" s="15"/>
    </row>
    <row r="67" ht="12.75" customHeight="1">
      <c r="A67" s="15"/>
      <c r="B67" s="15"/>
      <c r="C67" s="15"/>
      <c r="D67" s="15"/>
      <c r="E67" s="15"/>
      <c r="U67" s="15"/>
      <c r="V67" s="15"/>
      <c r="W67" s="15"/>
      <c r="X67" s="15"/>
      <c r="Y67" s="15"/>
      <c r="Z67" s="15"/>
    </row>
    <row r="68" ht="12.75" customHeight="1">
      <c r="A68" s="15"/>
      <c r="B68" s="15"/>
      <c r="C68" s="15"/>
      <c r="D68" s="15"/>
      <c r="E68" s="15"/>
      <c r="U68" s="15"/>
      <c r="V68" s="15"/>
      <c r="W68" s="15"/>
      <c r="X68" s="15"/>
      <c r="Y68" s="15"/>
      <c r="Z68" s="15"/>
    </row>
    <row r="69" ht="12.75" customHeight="1">
      <c r="A69" s="15"/>
      <c r="B69" s="15"/>
      <c r="C69" s="15"/>
      <c r="D69" s="15"/>
      <c r="E69" s="15"/>
      <c r="U69" s="15"/>
      <c r="V69" s="15"/>
      <c r="W69" s="15"/>
      <c r="X69" s="15"/>
      <c r="Y69" s="15"/>
      <c r="Z69" s="15"/>
    </row>
    <row r="70" ht="12.75" customHeight="1">
      <c r="A70" s="15"/>
      <c r="B70" s="15"/>
      <c r="C70" s="15"/>
      <c r="D70" s="15"/>
      <c r="E70" s="15"/>
      <c r="U70" s="15"/>
      <c r="V70" s="15"/>
      <c r="W70" s="15"/>
      <c r="X70" s="15"/>
      <c r="Y70" s="15"/>
      <c r="Z70" s="15"/>
    </row>
    <row r="71" ht="12.75" customHeight="1">
      <c r="A71" s="15"/>
      <c r="B71" s="15"/>
      <c r="C71" s="15"/>
      <c r="D71" s="15"/>
      <c r="E71" s="15"/>
      <c r="U71" s="15"/>
      <c r="V71" s="15"/>
      <c r="W71" s="15"/>
      <c r="X71" s="15"/>
      <c r="Y71" s="15"/>
      <c r="Z71" s="15"/>
    </row>
    <row r="72" ht="12.75" customHeight="1">
      <c r="A72" s="15"/>
      <c r="B72" s="15"/>
      <c r="C72" s="15"/>
      <c r="D72" s="15"/>
      <c r="E72" s="15"/>
      <c r="U72" s="15"/>
      <c r="V72" s="15"/>
      <c r="W72" s="15"/>
      <c r="X72" s="15"/>
      <c r="Y72" s="15"/>
      <c r="Z72" s="15"/>
    </row>
    <row r="73" ht="12.75" customHeight="1">
      <c r="A73" s="15"/>
      <c r="B73" s="15"/>
      <c r="C73" s="15"/>
      <c r="D73" s="15"/>
      <c r="E73" s="15"/>
      <c r="U73" s="15"/>
      <c r="V73" s="15"/>
      <c r="W73" s="15"/>
      <c r="X73" s="15"/>
      <c r="Y73" s="15"/>
      <c r="Z73" s="15"/>
    </row>
    <row r="74" ht="12.75" customHeight="1">
      <c r="A74" s="15"/>
      <c r="B74" s="15"/>
      <c r="C74" s="15"/>
      <c r="D74" s="15"/>
      <c r="E74" s="15"/>
      <c r="U74" s="15"/>
      <c r="V74" s="15"/>
      <c r="W74" s="15"/>
      <c r="X74" s="15"/>
      <c r="Y74" s="15"/>
      <c r="Z74" s="15"/>
    </row>
    <row r="75" ht="12.75" customHeight="1">
      <c r="A75" s="15"/>
      <c r="B75" s="15"/>
      <c r="C75" s="15"/>
      <c r="D75" s="15"/>
      <c r="E75" s="15"/>
      <c r="U75" s="15"/>
      <c r="V75" s="15"/>
      <c r="W75" s="15"/>
      <c r="X75" s="15"/>
      <c r="Y75" s="15"/>
      <c r="Z75" s="15"/>
    </row>
    <row r="76" ht="12.75" customHeight="1">
      <c r="A76" s="15"/>
      <c r="B76" s="15"/>
      <c r="C76" s="15"/>
      <c r="D76" s="15"/>
      <c r="E76" s="15"/>
      <c r="U76" s="15"/>
      <c r="V76" s="15"/>
      <c r="W76" s="15"/>
      <c r="X76" s="15"/>
      <c r="Y76" s="15"/>
      <c r="Z76" s="15"/>
    </row>
    <row r="77" ht="12.75" customHeight="1">
      <c r="A77" s="15"/>
      <c r="B77" s="15"/>
      <c r="C77" s="15"/>
      <c r="D77" s="15"/>
      <c r="E77" s="15"/>
      <c r="U77" s="15"/>
      <c r="V77" s="15"/>
      <c r="W77" s="15"/>
      <c r="X77" s="15"/>
      <c r="Y77" s="15"/>
      <c r="Z77" s="15"/>
    </row>
    <row r="78" ht="12.75" customHeight="1">
      <c r="A78" s="15"/>
      <c r="B78" s="15"/>
      <c r="C78" s="15"/>
      <c r="D78" s="15"/>
      <c r="E78" s="15"/>
      <c r="U78" s="15"/>
      <c r="V78" s="15"/>
      <c r="W78" s="15"/>
      <c r="X78" s="15"/>
      <c r="Y78" s="15"/>
      <c r="Z78" s="15"/>
    </row>
    <row r="79" ht="12.75" customHeight="1">
      <c r="A79" s="15"/>
      <c r="B79" s="15"/>
      <c r="C79" s="15"/>
      <c r="D79" s="15"/>
      <c r="E79" s="15"/>
      <c r="U79" s="15"/>
      <c r="V79" s="15"/>
      <c r="W79" s="15"/>
      <c r="X79" s="15"/>
      <c r="Y79" s="15"/>
      <c r="Z79" s="15"/>
    </row>
    <row r="80" ht="12.75" customHeight="1">
      <c r="A80" s="15"/>
      <c r="B80" s="15"/>
      <c r="C80" s="15"/>
      <c r="D80" s="15"/>
      <c r="E80" s="15"/>
      <c r="U80" s="15"/>
      <c r="V80" s="15"/>
      <c r="W80" s="15"/>
      <c r="X80" s="15"/>
      <c r="Y80" s="15"/>
      <c r="Z80" s="15"/>
    </row>
    <row r="81" ht="12.75" customHeight="1">
      <c r="A81" s="15"/>
      <c r="B81" s="15"/>
      <c r="C81" s="15"/>
      <c r="D81" s="15"/>
      <c r="E81" s="15"/>
      <c r="U81" s="15"/>
      <c r="V81" s="15"/>
      <c r="W81" s="15"/>
      <c r="X81" s="15"/>
      <c r="Y81" s="15"/>
      <c r="Z81" s="15"/>
    </row>
    <row r="82" ht="12.75" customHeight="1">
      <c r="A82" s="15"/>
      <c r="B82" s="15"/>
      <c r="C82" s="15"/>
      <c r="D82" s="15"/>
      <c r="E82" s="15"/>
      <c r="U82" s="15"/>
      <c r="V82" s="15"/>
      <c r="W82" s="15"/>
      <c r="X82" s="15"/>
      <c r="Y82" s="15"/>
      <c r="Z82" s="15"/>
    </row>
    <row r="83" ht="12.75" customHeight="1">
      <c r="A83" s="15"/>
      <c r="B83" s="15"/>
      <c r="C83" s="15"/>
      <c r="D83" s="15"/>
      <c r="E83" s="15"/>
      <c r="U83" s="15"/>
      <c r="V83" s="15"/>
      <c r="W83" s="15"/>
      <c r="X83" s="15"/>
      <c r="Y83" s="15"/>
      <c r="Z83" s="15"/>
    </row>
    <row r="84" ht="12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E1:F1"/>
    <mergeCell ref="A12:C12"/>
    <mergeCell ref="E12:F12"/>
    <mergeCell ref="E23:F23"/>
    <mergeCell ref="E24:E26"/>
    <mergeCell ref="F24:F26"/>
    <mergeCell ref="E27:E29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2021-06-18T08:44:00Z</dcterms:created>
  <dc:creator>Unknown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7FDAD8E4295B4AFD9D3ECB085DB1EDF5_12</vt:lpwstr>
  </property>
</Properties>
</file>